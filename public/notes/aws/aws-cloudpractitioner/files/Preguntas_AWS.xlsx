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2"/>
  <workbookPr filterPrivacy="1"/>
  <xr:revisionPtr revIDLastSave="0" documentId="13_ncr:1_{F8926BD5-17A6-AE43-BE49-4E9CF48C2086}" xr6:coauthVersionLast="47" xr6:coauthVersionMax="47" xr10:uidLastSave="{00000000-0000-0000-0000-000000000000}"/>
  <bookViews>
    <workbookView xWindow="0" yWindow="760" windowWidth="34560" windowHeight="20180" activeTab="2" xr2:uid="{00000000-000D-0000-FFFF-FFFF00000000}"/>
  </bookViews>
  <sheets>
    <sheet name="Examen 1" sheetId="11" r:id="rId1"/>
    <sheet name="Examen 1 - Solución" sheetId="12" r:id="rId2"/>
    <sheet name="Exam A" sheetId="3" r:id="rId3"/>
    <sheet name="Exam B" sheetId="6" r:id="rId4"/>
    <sheet name="Exam C" sheetId="7" r:id="rId5"/>
    <sheet name="Exam D" sheetId="5" r:id="rId6"/>
    <sheet name="Examen" sheetId="8" r:id="rId7"/>
    <sheet name="Knowledge Check"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2" l="1"/>
  <c r="K6" i="12"/>
  <c r="J16" i="12"/>
  <c r="J17" i="12"/>
  <c r="K16" i="12" s="1"/>
  <c r="J18" i="12"/>
  <c r="J19" i="12"/>
  <c r="J20" i="12"/>
  <c r="J27" i="12"/>
  <c r="K27" i="12"/>
  <c r="J37" i="12"/>
  <c r="J38" i="12"/>
  <c r="K37" i="12" s="1"/>
  <c r="J39" i="12"/>
  <c r="J40" i="12"/>
  <c r="J41" i="12"/>
  <c r="J49" i="12"/>
  <c r="K48" i="12" s="1"/>
  <c r="J58" i="12"/>
  <c r="K58" i="12"/>
  <c r="J59" i="12"/>
  <c r="J60" i="12"/>
  <c r="J61" i="12"/>
  <c r="J62" i="12"/>
  <c r="J69" i="12"/>
  <c r="K69" i="12"/>
  <c r="J79" i="12"/>
  <c r="K79" i="12"/>
  <c r="J91" i="12"/>
  <c r="K89" i="12" s="1"/>
  <c r="J102" i="12"/>
  <c r="K99" i="12" s="1"/>
  <c r="J110" i="12"/>
  <c r="K109" i="12" s="1"/>
  <c r="J120" i="12"/>
  <c r="K119" i="12" s="1"/>
  <c r="J132" i="12"/>
  <c r="K129" i="12" s="1"/>
  <c r="J141" i="12"/>
  <c r="K139" i="12" s="1"/>
  <c r="J150" i="12"/>
  <c r="K149" i="12" s="1"/>
  <c r="J161" i="12"/>
  <c r="K159" i="12" s="1"/>
  <c r="J169" i="12"/>
  <c r="K169" i="12"/>
  <c r="J181" i="12"/>
  <c r="K179" i="12" s="1"/>
  <c r="J189" i="12"/>
  <c r="K189" i="12"/>
  <c r="J202" i="12"/>
  <c r="K199" i="12" s="1"/>
  <c r="J210" i="12"/>
  <c r="K209" i="12" s="1"/>
  <c r="J219" i="12"/>
  <c r="J220" i="12"/>
  <c r="J221" i="12"/>
  <c r="K219" i="12" s="1"/>
  <c r="J222" i="12"/>
  <c r="J223" i="12"/>
  <c r="J230" i="12"/>
  <c r="J231" i="12"/>
  <c r="K230" i="12" s="1"/>
  <c r="J232" i="12"/>
  <c r="J233" i="12"/>
  <c r="J234" i="12"/>
  <c r="J243" i="12"/>
  <c r="K241" i="12" s="1"/>
  <c r="J252" i="12"/>
  <c r="K251" i="12" s="1"/>
  <c r="J262" i="12"/>
  <c r="K261" i="12" s="1"/>
  <c r="J271" i="12"/>
  <c r="J272" i="12"/>
  <c r="K271" i="12" s="1"/>
  <c r="J273" i="12"/>
  <c r="J274" i="12"/>
  <c r="J275" i="12"/>
  <c r="J283" i="12"/>
  <c r="K282" i="12" s="1"/>
  <c r="J293" i="12"/>
  <c r="K292" i="12" s="1"/>
  <c r="J303" i="12"/>
  <c r="K302" i="12" s="1"/>
  <c r="J315" i="12"/>
  <c r="K312" i="12" s="1"/>
  <c r="J322" i="12"/>
  <c r="K322" i="12"/>
  <c r="J332" i="12"/>
  <c r="K332" i="12"/>
  <c r="J344" i="12"/>
  <c r="K342" i="12" s="1"/>
  <c r="J352" i="12"/>
  <c r="K352" i="12"/>
  <c r="J365" i="12"/>
  <c r="K362" i="12" s="1"/>
  <c r="J375" i="12"/>
  <c r="K372" i="12" s="1"/>
  <c r="J384" i="12"/>
  <c r="K382" i="12" s="1"/>
  <c r="J394" i="12"/>
  <c r="K392" i="12" s="1"/>
  <c r="J402" i="12"/>
  <c r="J403" i="12"/>
  <c r="K402" i="12" s="1"/>
  <c r="J404" i="12"/>
  <c r="J405" i="12"/>
  <c r="J406" i="12"/>
  <c r="J414" i="12"/>
  <c r="K413" i="12" s="1"/>
  <c r="J424" i="12"/>
  <c r="K423" i="12" s="1"/>
  <c r="J433" i="12"/>
  <c r="J434" i="12"/>
  <c r="K433" i="12" s="1"/>
  <c r="J435" i="12"/>
  <c r="J436" i="12"/>
  <c r="J437" i="12"/>
  <c r="J445" i="12"/>
  <c r="K444" i="12" s="1"/>
  <c r="J457" i="12"/>
  <c r="K454" i="12" s="1"/>
  <c r="J465" i="12"/>
  <c r="K464" i="12" s="1"/>
  <c r="J474" i="12"/>
  <c r="K474" i="12"/>
  <c r="J486" i="12"/>
  <c r="K484" i="12" s="1"/>
  <c r="J494" i="12"/>
  <c r="K494" i="12"/>
  <c r="J495" i="12"/>
  <c r="J496" i="12"/>
  <c r="J497" i="12"/>
  <c r="J498" i="12"/>
  <c r="J505" i="12"/>
  <c r="J506" i="12"/>
  <c r="K505" i="12" s="1"/>
  <c r="J507" i="12"/>
  <c r="J508" i="12"/>
  <c r="J509" i="12"/>
  <c r="J516" i="12"/>
  <c r="K516" i="12"/>
  <c r="J528" i="12"/>
  <c r="K526" i="12" s="1"/>
  <c r="J537" i="12"/>
  <c r="K536" i="12" s="1"/>
  <c r="J547" i="12"/>
  <c r="K546" i="12" s="1"/>
  <c r="J558" i="12"/>
  <c r="K556" i="12" s="1"/>
  <c r="J566" i="12"/>
  <c r="K566" i="12"/>
  <c r="J576" i="12"/>
  <c r="J577" i="12"/>
  <c r="K576" i="12" s="1"/>
  <c r="J578" i="12"/>
  <c r="J579" i="12"/>
  <c r="J580" i="12"/>
  <c r="J590" i="12"/>
  <c r="K587" i="12" s="1"/>
  <c r="J598" i="12"/>
  <c r="K597" i="12" s="1"/>
  <c r="J609" i="12"/>
  <c r="K607" i="12" s="1"/>
  <c r="J617" i="12"/>
  <c r="J618" i="12"/>
  <c r="K617" i="12" s="1"/>
  <c r="J619" i="12"/>
  <c r="J620" i="12"/>
  <c r="J621" i="12"/>
  <c r="J630" i="12"/>
  <c r="K628" i="12" s="1"/>
  <c r="J639" i="12"/>
  <c r="K638" i="12" s="1"/>
  <c r="J650" i="12"/>
  <c r="K648" i="12" s="1"/>
  <c r="J660" i="12"/>
  <c r="K658" i="12" s="1"/>
  <c r="J6" i="11"/>
  <c r="K6" i="11"/>
  <c r="J16" i="11"/>
  <c r="J17" i="11"/>
  <c r="K16" i="11" s="1"/>
  <c r="J18" i="11"/>
  <c r="J19" i="11"/>
  <c r="J20" i="11"/>
  <c r="J27" i="11"/>
  <c r="K27" i="11" s="1"/>
  <c r="J37" i="11"/>
  <c r="J38" i="11"/>
  <c r="K37" i="11" s="1"/>
  <c r="J39" i="11"/>
  <c r="J40" i="11"/>
  <c r="J41" i="11"/>
  <c r="K48" i="11"/>
  <c r="J49" i="11"/>
  <c r="J58" i="11"/>
  <c r="K58" i="11" s="1"/>
  <c r="J59" i="11"/>
  <c r="J60" i="11"/>
  <c r="J61" i="11"/>
  <c r="J62" i="11"/>
  <c r="J69" i="11"/>
  <c r="K69" i="11"/>
  <c r="J79" i="11"/>
  <c r="K79" i="11" s="1"/>
  <c r="K89" i="11"/>
  <c r="J91" i="11"/>
  <c r="J102" i="11"/>
  <c r="K99" i="11" s="1"/>
  <c r="J110" i="11"/>
  <c r="K109" i="11" s="1"/>
  <c r="J120" i="11"/>
  <c r="K119" i="11" s="1"/>
  <c r="K129" i="11"/>
  <c r="J132" i="11"/>
  <c r="K139" i="11"/>
  <c r="J141" i="11"/>
  <c r="J150" i="11"/>
  <c r="K149" i="11" s="1"/>
  <c r="J161" i="11"/>
  <c r="K159" i="11" s="1"/>
  <c r="J169" i="11"/>
  <c r="K169" i="11"/>
  <c r="K179" i="11"/>
  <c r="J181" i="11"/>
  <c r="J189" i="11"/>
  <c r="K189" i="11" s="1"/>
  <c r="J202" i="11"/>
  <c r="K199" i="11" s="1"/>
  <c r="J210" i="11"/>
  <c r="K209" i="11" s="1"/>
  <c r="J219" i="11"/>
  <c r="J220" i="11"/>
  <c r="K219" i="11" s="1"/>
  <c r="J221" i="11"/>
  <c r="J222" i="11"/>
  <c r="J223" i="11"/>
  <c r="J230" i="11"/>
  <c r="J231" i="11"/>
  <c r="K230" i="11" s="1"/>
  <c r="J232" i="11"/>
  <c r="J233" i="11"/>
  <c r="J234" i="11"/>
  <c r="K241" i="11"/>
  <c r="J243" i="11"/>
  <c r="K251" i="11"/>
  <c r="J252" i="11"/>
  <c r="J262" i="11"/>
  <c r="K261" i="11" s="1"/>
  <c r="J271" i="11"/>
  <c r="J272" i="11"/>
  <c r="K271" i="11" s="1"/>
  <c r="J273" i="11"/>
  <c r="J274" i="11"/>
  <c r="J275" i="11"/>
  <c r="K282" i="11"/>
  <c r="J283" i="11"/>
  <c r="J293" i="11"/>
  <c r="K292" i="11" s="1"/>
  <c r="J303" i="11"/>
  <c r="K302" i="11" s="1"/>
  <c r="J315" i="11"/>
  <c r="K312" i="11" s="1"/>
  <c r="J322" i="11"/>
  <c r="K322" i="11" s="1"/>
  <c r="J332" i="11"/>
  <c r="K332" i="11" s="1"/>
  <c r="J344" i="11"/>
  <c r="K342" i="11" s="1"/>
  <c r="J352" i="11"/>
  <c r="K352" i="11"/>
  <c r="J365" i="11"/>
  <c r="K362" i="11" s="1"/>
  <c r="K372" i="11"/>
  <c r="J375" i="11"/>
  <c r="K382" i="11"/>
  <c r="J384" i="11"/>
  <c r="J394" i="11"/>
  <c r="K392" i="11" s="1"/>
  <c r="J402" i="11"/>
  <c r="J403" i="11"/>
  <c r="K402" i="11" s="1"/>
  <c r="J404" i="11"/>
  <c r="J405" i="11"/>
  <c r="J406" i="11"/>
  <c r="K413" i="11"/>
  <c r="J414" i="11"/>
  <c r="J424" i="11"/>
  <c r="K423" i="11" s="1"/>
  <c r="J433" i="11"/>
  <c r="J434" i="11"/>
  <c r="K433" i="11" s="1"/>
  <c r="J435" i="11"/>
  <c r="J436" i="11"/>
  <c r="J437" i="11"/>
  <c r="K444" i="11"/>
  <c r="J445" i="11"/>
  <c r="J457" i="11"/>
  <c r="K454" i="11" s="1"/>
  <c r="J465" i="11"/>
  <c r="K464" i="11" s="1"/>
  <c r="J474" i="11"/>
  <c r="K474" i="11"/>
  <c r="K484" i="11"/>
  <c r="J486" i="11"/>
  <c r="J494" i="11"/>
  <c r="K494" i="11" s="1"/>
  <c r="J495" i="11"/>
  <c r="J496" i="11"/>
  <c r="J497" i="11"/>
  <c r="J498" i="11"/>
  <c r="J505" i="11"/>
  <c r="J506" i="11"/>
  <c r="K505" i="11" s="1"/>
  <c r="J507" i="11"/>
  <c r="J508" i="11"/>
  <c r="J509" i="11"/>
  <c r="J516" i="11"/>
  <c r="K516" i="11"/>
  <c r="J528" i="11"/>
  <c r="K526" i="11" s="1"/>
  <c r="J537" i="11"/>
  <c r="K536" i="11" s="1"/>
  <c r="K546" i="11"/>
  <c r="J547" i="11"/>
  <c r="K556" i="11"/>
  <c r="J558" i="11"/>
  <c r="J566" i="11"/>
  <c r="K566" i="11"/>
  <c r="J576" i="11"/>
  <c r="J577" i="11"/>
  <c r="K576" i="11" s="1"/>
  <c r="J578" i="11"/>
  <c r="J579" i="11"/>
  <c r="J580" i="11"/>
  <c r="K587" i="11"/>
  <c r="J590" i="11"/>
  <c r="J598" i="11"/>
  <c r="K597" i="11" s="1"/>
  <c r="J609" i="11"/>
  <c r="K607" i="11" s="1"/>
  <c r="J617" i="11"/>
  <c r="J618" i="11"/>
  <c r="K617" i="11" s="1"/>
  <c r="J619" i="11"/>
  <c r="J620" i="11"/>
  <c r="J621" i="11"/>
  <c r="J630" i="11"/>
  <c r="K628" i="11" s="1"/>
  <c r="J639" i="11"/>
  <c r="K638" i="11" s="1"/>
  <c r="J650" i="11"/>
  <c r="K648" i="11" s="1"/>
  <c r="K658" i="11"/>
  <c r="J660" i="11"/>
  <c r="G665" i="11" l="1"/>
  <c r="F665" i="11" s="1"/>
  <c r="B666" i="11" s="1"/>
  <c r="G665" i="12"/>
  <c r="F665" i="12" s="1"/>
  <c r="B666" i="12" s="1"/>
  <c r="F147" i="9" l="1"/>
  <c r="F146" i="9"/>
  <c r="F145" i="9"/>
  <c r="F144" i="9"/>
  <c r="F142" i="9"/>
  <c r="F141" i="9"/>
  <c r="F140" i="9"/>
  <c r="F139" i="9"/>
  <c r="F137" i="9"/>
  <c r="F136" i="9"/>
  <c r="F135" i="9"/>
  <c r="F134" i="9"/>
  <c r="F132" i="9"/>
  <c r="F131" i="9"/>
  <c r="F130" i="9"/>
  <c r="F129" i="9"/>
  <c r="F127" i="9"/>
  <c r="F126" i="9"/>
  <c r="F125" i="9"/>
  <c r="F124" i="9"/>
  <c r="F122" i="9"/>
  <c r="F121" i="9"/>
  <c r="F120" i="9"/>
  <c r="F119" i="9"/>
  <c r="F117" i="9"/>
  <c r="F116" i="9"/>
  <c r="F115" i="9"/>
  <c r="F114" i="9"/>
  <c r="F112" i="9"/>
  <c r="F111" i="9"/>
  <c r="F110" i="9"/>
  <c r="F109" i="9"/>
  <c r="F107" i="9"/>
  <c r="F106" i="9"/>
  <c r="F105" i="9"/>
  <c r="F104" i="9"/>
  <c r="F102" i="9"/>
  <c r="F101" i="9"/>
  <c r="F100" i="9"/>
  <c r="F99" i="9"/>
  <c r="F97" i="9"/>
  <c r="F96" i="9"/>
  <c r="F95" i="9"/>
  <c r="F94" i="9"/>
  <c r="F92" i="9"/>
  <c r="F91" i="9"/>
  <c r="F90" i="9"/>
  <c r="F89" i="9"/>
  <c r="F87" i="9"/>
  <c r="F86" i="9"/>
  <c r="F85" i="9"/>
  <c r="F84" i="9"/>
  <c r="F82" i="9"/>
  <c r="F81" i="9"/>
  <c r="F80" i="9"/>
  <c r="F79" i="9"/>
  <c r="F78" i="9"/>
  <c r="F77" i="9"/>
  <c r="F75" i="9"/>
  <c r="F74" i="9"/>
  <c r="F73" i="9"/>
  <c r="F72" i="9"/>
  <c r="F70" i="9"/>
  <c r="F69" i="9"/>
  <c r="F68" i="9"/>
  <c r="F67" i="9"/>
  <c r="F65" i="9"/>
  <c r="F64" i="9"/>
  <c r="F63" i="9"/>
  <c r="F62" i="9"/>
  <c r="F60" i="9"/>
  <c r="F59" i="9"/>
  <c r="F58" i="9"/>
  <c r="F57" i="9"/>
  <c r="F55" i="9"/>
  <c r="F54" i="9"/>
  <c r="F53" i="9"/>
  <c r="F52" i="9"/>
  <c r="F50" i="9"/>
  <c r="F49" i="9"/>
  <c r="F48" i="9"/>
  <c r="F47" i="9"/>
  <c r="F45" i="9"/>
  <c r="F44" i="9"/>
  <c r="F43" i="9"/>
  <c r="F42" i="9"/>
  <c r="F40" i="9"/>
  <c r="F39" i="9"/>
  <c r="F38" i="9"/>
  <c r="F37" i="9"/>
  <c r="F35" i="9"/>
  <c r="F34" i="9"/>
  <c r="F33" i="9"/>
  <c r="F32" i="9"/>
  <c r="F30" i="9"/>
  <c r="F29" i="9"/>
  <c r="F28" i="9"/>
  <c r="F27" i="9"/>
  <c r="F25" i="9"/>
  <c r="F24" i="9"/>
  <c r="F23" i="9"/>
  <c r="F22" i="9"/>
  <c r="F20" i="9"/>
  <c r="F19" i="9"/>
  <c r="F18" i="9"/>
  <c r="F17" i="9"/>
  <c r="F15" i="9"/>
  <c r="F14" i="9"/>
  <c r="F13" i="9"/>
  <c r="F12" i="9"/>
  <c r="F10" i="9"/>
  <c r="F9" i="9"/>
  <c r="F8" i="9"/>
  <c r="F7" i="9"/>
  <c r="F5" i="9"/>
  <c r="F4" i="9"/>
  <c r="F3" i="9"/>
  <c r="F2" i="9"/>
  <c r="F982" i="8"/>
  <c r="F981" i="8"/>
  <c r="F980" i="8"/>
  <c r="F979" i="8"/>
  <c r="F977" i="8"/>
  <c r="F976" i="8"/>
  <c r="F975" i="8"/>
  <c r="F974" i="8"/>
  <c r="F972" i="8"/>
  <c r="F971" i="8"/>
  <c r="F970" i="8"/>
  <c r="F969" i="8"/>
  <c r="F967" i="8"/>
  <c r="F966" i="8"/>
  <c r="F965" i="8"/>
  <c r="F964" i="8"/>
  <c r="F962" i="8"/>
  <c r="F961" i="8"/>
  <c r="F960" i="8"/>
  <c r="F959" i="8"/>
  <c r="F957" i="8"/>
  <c r="F956" i="8"/>
  <c r="F955" i="8"/>
  <c r="F954" i="8"/>
  <c r="F952" i="8"/>
  <c r="F951" i="8"/>
  <c r="F950" i="8"/>
  <c r="F949" i="8"/>
  <c r="F947" i="8"/>
  <c r="F946" i="8"/>
  <c r="F945" i="8"/>
  <c r="F944" i="8"/>
  <c r="F942" i="8"/>
  <c r="F941" i="8"/>
  <c r="F940" i="8"/>
  <c r="F939" i="8"/>
  <c r="F937" i="8"/>
  <c r="F936" i="8"/>
  <c r="F935" i="8"/>
  <c r="F934" i="8"/>
  <c r="F932" i="8"/>
  <c r="F931" i="8"/>
  <c r="F930" i="8"/>
  <c r="F929" i="8"/>
  <c r="F927" i="8"/>
  <c r="F926" i="8"/>
  <c r="F925" i="8"/>
  <c r="F924" i="8"/>
  <c r="F922" i="8"/>
  <c r="F921" i="8"/>
  <c r="F920" i="8"/>
  <c r="F919" i="8"/>
  <c r="F917" i="8"/>
  <c r="F916" i="8"/>
  <c r="F915" i="8"/>
  <c r="F914" i="8"/>
  <c r="F912" i="8"/>
  <c r="F911" i="8"/>
  <c r="F910" i="8"/>
  <c r="F909" i="8"/>
  <c r="F907" i="8"/>
  <c r="F906" i="8"/>
  <c r="F905" i="8"/>
  <c r="F904" i="8"/>
  <c r="F902" i="8"/>
  <c r="F901" i="8"/>
  <c r="F900" i="8"/>
  <c r="F899" i="8"/>
  <c r="F897" i="8"/>
  <c r="F896" i="8"/>
  <c r="F895" i="8"/>
  <c r="F894" i="8"/>
  <c r="F892" i="8"/>
  <c r="F891" i="8"/>
  <c r="F890" i="8"/>
  <c r="F889" i="8"/>
  <c r="F887" i="8"/>
  <c r="F886" i="8"/>
  <c r="F885" i="8"/>
  <c r="F884" i="8"/>
  <c r="F882" i="8"/>
  <c r="F881" i="8"/>
  <c r="F880" i="8"/>
  <c r="F879" i="8"/>
  <c r="F877" i="8"/>
  <c r="F876" i="8"/>
  <c r="F875" i="8"/>
  <c r="F874" i="8"/>
  <c r="F872" i="8"/>
  <c r="F871" i="8"/>
  <c r="F870" i="8"/>
  <c r="F869" i="8"/>
  <c r="F867" i="8"/>
  <c r="F866" i="8"/>
  <c r="F865" i="8"/>
  <c r="F864" i="8"/>
  <c r="F862" i="8"/>
  <c r="F861" i="8"/>
  <c r="F860" i="8"/>
  <c r="F859" i="8"/>
  <c r="F857" i="8"/>
  <c r="F856" i="8"/>
  <c r="F855" i="8"/>
  <c r="F854" i="8"/>
  <c r="F852" i="8"/>
  <c r="F851" i="8"/>
  <c r="F850" i="8"/>
  <c r="F849" i="8"/>
  <c r="F847" i="8"/>
  <c r="F846" i="8"/>
  <c r="F845" i="8"/>
  <c r="F844" i="8"/>
  <c r="F842" i="8"/>
  <c r="F841" i="8"/>
  <c r="F840" i="8"/>
  <c r="F839" i="8"/>
  <c r="F837" i="8"/>
  <c r="F836" i="8"/>
  <c r="F835" i="8"/>
  <c r="F834" i="8"/>
  <c r="F832" i="8"/>
  <c r="F831" i="8"/>
  <c r="F830" i="8"/>
  <c r="F829" i="8"/>
  <c r="F827" i="8"/>
  <c r="F826" i="8"/>
  <c r="F825" i="8"/>
  <c r="F824" i="8"/>
  <c r="F822" i="8"/>
  <c r="F821" i="8"/>
  <c r="F820" i="8"/>
  <c r="F819" i="8"/>
  <c r="F817" i="8"/>
  <c r="F816" i="8"/>
  <c r="F815" i="8"/>
  <c r="F814" i="8"/>
  <c r="F812" i="8"/>
  <c r="F811" i="8"/>
  <c r="F810" i="8"/>
  <c r="F809" i="8"/>
  <c r="F807" i="8"/>
  <c r="F806" i="8"/>
  <c r="F805" i="8"/>
  <c r="F804" i="8"/>
  <c r="F802" i="8"/>
  <c r="F801" i="8"/>
  <c r="F800" i="8"/>
  <c r="F799" i="8"/>
  <c r="F797" i="8"/>
  <c r="F796" i="8"/>
  <c r="F795" i="8"/>
  <c r="F794" i="8"/>
  <c r="F792" i="8"/>
  <c r="F791" i="8"/>
  <c r="F790" i="8"/>
  <c r="F789" i="8"/>
  <c r="F787" i="8"/>
  <c r="F786" i="8"/>
  <c r="F785" i="8"/>
  <c r="F784" i="8"/>
  <c r="F782" i="8"/>
  <c r="F781" i="8"/>
  <c r="F780" i="8"/>
  <c r="F779" i="8"/>
  <c r="F777" i="8"/>
  <c r="F776" i="8"/>
  <c r="F775" i="8"/>
  <c r="F774" i="8"/>
  <c r="F772" i="8"/>
  <c r="F771" i="8"/>
  <c r="F770" i="8"/>
  <c r="F769" i="8"/>
  <c r="F767" i="8"/>
  <c r="F766" i="8"/>
  <c r="F765" i="8"/>
  <c r="F764" i="8"/>
  <c r="F762" i="8"/>
  <c r="F761" i="8"/>
  <c r="F760" i="8"/>
  <c r="F759" i="8"/>
  <c r="F757" i="8"/>
  <c r="F756" i="8"/>
  <c r="F755" i="8"/>
  <c r="F754" i="8"/>
  <c r="F752" i="8"/>
  <c r="F751" i="8"/>
  <c r="F750" i="8"/>
  <c r="F749" i="8"/>
  <c r="F748" i="8"/>
  <c r="F747" i="8"/>
  <c r="F745" i="8"/>
  <c r="F744" i="8"/>
  <c r="F743" i="8"/>
  <c r="F742" i="8"/>
  <c r="F740" i="8"/>
  <c r="F739" i="8"/>
  <c r="F738" i="8"/>
  <c r="F737" i="8"/>
  <c r="F735" i="8"/>
  <c r="F734" i="8"/>
  <c r="F733" i="8"/>
  <c r="F732" i="8"/>
  <c r="F730" i="8"/>
  <c r="F729" i="8"/>
  <c r="F728" i="8"/>
  <c r="F727" i="8"/>
  <c r="F725" i="8"/>
  <c r="F724" i="8"/>
  <c r="F723" i="8"/>
  <c r="F722" i="8"/>
  <c r="F720" i="8"/>
  <c r="F719" i="8"/>
  <c r="F718" i="8"/>
  <c r="F717" i="8"/>
  <c r="F715" i="8"/>
  <c r="F714" i="8"/>
  <c r="F713" i="8"/>
  <c r="F712" i="8"/>
  <c r="F710" i="8"/>
  <c r="F709" i="8"/>
  <c r="F708" i="8"/>
  <c r="F707" i="8"/>
  <c r="F705" i="8"/>
  <c r="F704" i="8"/>
  <c r="F703" i="8"/>
  <c r="F702" i="8"/>
  <c r="F700" i="8"/>
  <c r="F699" i="8"/>
  <c r="F698" i="8"/>
  <c r="F697" i="8"/>
  <c r="F695" i="8"/>
  <c r="F694" i="8"/>
  <c r="F693" i="8"/>
  <c r="F692" i="8"/>
  <c r="F690" i="8"/>
  <c r="F689" i="8"/>
  <c r="F688" i="8"/>
  <c r="F687" i="8"/>
  <c r="F685" i="8"/>
  <c r="F684" i="8"/>
  <c r="F683" i="8"/>
  <c r="F682" i="8"/>
  <c r="F680" i="8"/>
  <c r="F679" i="8"/>
  <c r="F678" i="8"/>
  <c r="F677" i="8"/>
  <c r="F675" i="8"/>
  <c r="F674" i="8"/>
  <c r="F673" i="8"/>
  <c r="F672" i="8"/>
  <c r="F670" i="8"/>
  <c r="F669" i="8"/>
  <c r="F668" i="8"/>
  <c r="F667" i="8"/>
  <c r="F665" i="8"/>
  <c r="F664" i="8"/>
  <c r="F663" i="8"/>
  <c r="F662" i="8"/>
  <c r="F660" i="8"/>
  <c r="F659" i="8"/>
  <c r="F658" i="8"/>
  <c r="F657" i="8"/>
  <c r="F655" i="8"/>
  <c r="F654" i="8"/>
  <c r="F653" i="8"/>
  <c r="F652" i="8"/>
  <c r="F650" i="8"/>
  <c r="F649" i="8"/>
  <c r="F648" i="8"/>
  <c r="F647" i="8"/>
  <c r="F645" i="8"/>
  <c r="F644" i="8"/>
  <c r="F643" i="8"/>
  <c r="F642" i="8"/>
  <c r="F640" i="8"/>
  <c r="F639" i="8"/>
  <c r="F638" i="8"/>
  <c r="F637" i="8"/>
  <c r="F635" i="8"/>
  <c r="F634" i="8"/>
  <c r="F633" i="8"/>
  <c r="F632" i="8"/>
  <c r="F630" i="8"/>
  <c r="F629" i="8"/>
  <c r="F628" i="8"/>
  <c r="F627" i="8"/>
  <c r="F625" i="8"/>
  <c r="F624" i="8"/>
  <c r="F623" i="8"/>
  <c r="F622" i="8"/>
  <c r="F620" i="8"/>
  <c r="F619" i="8"/>
  <c r="F618" i="8"/>
  <c r="F617" i="8"/>
  <c r="F615" i="8"/>
  <c r="F614" i="8"/>
  <c r="F613" i="8"/>
  <c r="F612" i="8"/>
  <c r="F610" i="8"/>
  <c r="F609" i="8"/>
  <c r="F608" i="8"/>
  <c r="F607" i="8"/>
  <c r="F605" i="8"/>
  <c r="F604" i="8"/>
  <c r="F603" i="8"/>
  <c r="F602" i="8"/>
  <c r="F600" i="8"/>
  <c r="F599" i="8"/>
  <c r="F598" i="8"/>
  <c r="F597" i="8"/>
  <c r="F595" i="8"/>
  <c r="F594" i="8"/>
  <c r="F593" i="8"/>
  <c r="F592" i="8"/>
  <c r="F590" i="8"/>
  <c r="F589" i="8"/>
  <c r="F588" i="8"/>
  <c r="F587" i="8"/>
  <c r="F585" i="8"/>
  <c r="F584" i="8"/>
  <c r="F583" i="8"/>
  <c r="F582" i="8"/>
  <c r="F580" i="8"/>
  <c r="F579" i="8"/>
  <c r="F578" i="8"/>
  <c r="F577" i="8"/>
  <c r="F575" i="8"/>
  <c r="F574" i="8"/>
  <c r="F573" i="8"/>
  <c r="F572" i="8"/>
  <c r="F570" i="8"/>
  <c r="F569" i="8"/>
  <c r="F568" i="8"/>
  <c r="F567" i="8"/>
  <c r="F565" i="8"/>
  <c r="F564" i="8"/>
  <c r="F563" i="8"/>
  <c r="F562" i="8"/>
  <c r="F560" i="8"/>
  <c r="F559" i="8"/>
  <c r="F558" i="8"/>
  <c r="F557" i="8"/>
  <c r="F555" i="8"/>
  <c r="F554" i="8"/>
  <c r="F553" i="8"/>
  <c r="F552" i="8"/>
  <c r="F550" i="8"/>
  <c r="F549" i="8"/>
  <c r="F548" i="8"/>
  <c r="F547" i="8"/>
  <c r="F545" i="8"/>
  <c r="F544" i="8"/>
  <c r="F543" i="8"/>
  <c r="F542" i="8"/>
  <c r="F540" i="8"/>
  <c r="F539" i="8"/>
  <c r="F538" i="8"/>
  <c r="F537" i="8"/>
  <c r="F535" i="8"/>
  <c r="F534" i="8"/>
  <c r="F533" i="8"/>
  <c r="F532" i="8"/>
  <c r="F530" i="8"/>
  <c r="F529" i="8"/>
  <c r="F528" i="8"/>
  <c r="F527" i="8"/>
  <c r="F525" i="8"/>
  <c r="F524" i="8"/>
  <c r="F523" i="8"/>
  <c r="F522" i="8"/>
  <c r="F520" i="8"/>
  <c r="F519" i="8"/>
  <c r="F518" i="8"/>
  <c r="F517" i="8"/>
  <c r="F515" i="8"/>
  <c r="F514" i="8"/>
  <c r="F513" i="8"/>
  <c r="F512" i="8"/>
  <c r="F510" i="8"/>
  <c r="F509" i="8"/>
  <c r="F508" i="8"/>
  <c r="F507" i="8"/>
  <c r="F505" i="8"/>
  <c r="F504" i="8"/>
  <c r="F503" i="8"/>
  <c r="F502" i="8"/>
  <c r="F500" i="8"/>
  <c r="F499" i="8"/>
  <c r="F498" i="8"/>
  <c r="F497" i="8"/>
  <c r="F495" i="8"/>
  <c r="F494" i="8"/>
  <c r="F493" i="8"/>
  <c r="F492" i="8"/>
  <c r="F490" i="8"/>
  <c r="F489" i="8"/>
  <c r="F488" i="8"/>
  <c r="F487" i="8"/>
  <c r="F485" i="8"/>
  <c r="F484" i="8"/>
  <c r="F483" i="8"/>
  <c r="F482" i="8"/>
  <c r="F480" i="8"/>
  <c r="F479" i="8"/>
  <c r="F478" i="8"/>
  <c r="F477" i="8"/>
  <c r="F475" i="8"/>
  <c r="F474" i="8"/>
  <c r="F473" i="8"/>
  <c r="F472" i="8"/>
  <c r="F470" i="8"/>
  <c r="F469" i="8"/>
  <c r="F468" i="8"/>
  <c r="F467" i="8"/>
  <c r="F465" i="8"/>
  <c r="F464" i="8"/>
  <c r="F463" i="8"/>
  <c r="F462" i="8"/>
  <c r="F460" i="8"/>
  <c r="F459" i="8"/>
  <c r="F458" i="8"/>
  <c r="F457" i="8"/>
  <c r="F455" i="8"/>
  <c r="F454" i="8"/>
  <c r="F453" i="8"/>
  <c r="F452" i="8"/>
  <c r="F450" i="8"/>
  <c r="F449" i="8"/>
  <c r="F448" i="8"/>
  <c r="F447" i="8"/>
  <c r="F445" i="8"/>
  <c r="F444" i="8"/>
  <c r="F443" i="8"/>
  <c r="F442" i="8"/>
  <c r="F440" i="8"/>
  <c r="F439" i="8"/>
  <c r="F438" i="8"/>
  <c r="F437" i="8"/>
  <c r="F435" i="8"/>
  <c r="F434" i="8"/>
  <c r="F433" i="8"/>
  <c r="F432" i="8"/>
  <c r="F430" i="8"/>
  <c r="F429" i="8"/>
  <c r="F428" i="8"/>
  <c r="F427" i="8"/>
  <c r="F426" i="8"/>
  <c r="F424" i="8"/>
  <c r="F423" i="8"/>
  <c r="F422" i="8"/>
  <c r="F421" i="8"/>
  <c r="F419" i="8"/>
  <c r="F418" i="8"/>
  <c r="F417" i="8"/>
  <c r="F416" i="8"/>
  <c r="F414" i="8"/>
  <c r="F413" i="8"/>
  <c r="F412" i="8"/>
  <c r="F411" i="8"/>
  <c r="F409" i="8"/>
  <c r="F408" i="8"/>
  <c r="F407" i="8"/>
  <c r="F406" i="8"/>
  <c r="F404" i="8"/>
  <c r="F403" i="8"/>
  <c r="F402" i="8"/>
  <c r="F401" i="8"/>
  <c r="F399" i="8"/>
  <c r="F398" i="8"/>
  <c r="F397" i="8"/>
  <c r="F396" i="8"/>
  <c r="F394" i="8"/>
  <c r="F393" i="8"/>
  <c r="F392" i="8"/>
  <c r="F391" i="8"/>
  <c r="F389" i="8"/>
  <c r="F388" i="8"/>
  <c r="F387" i="8"/>
  <c r="F386" i="8"/>
  <c r="F384" i="8"/>
  <c r="F383" i="8"/>
  <c r="F382" i="8"/>
  <c r="F381" i="8"/>
  <c r="F379" i="8"/>
  <c r="F378" i="8"/>
  <c r="F377" i="8"/>
  <c r="F376" i="8"/>
  <c r="F374" i="8"/>
  <c r="F373" i="8"/>
  <c r="F372" i="8"/>
  <c r="F371" i="8"/>
  <c r="F369" i="8"/>
  <c r="F368" i="8"/>
  <c r="F367" i="8"/>
  <c r="F366" i="8"/>
  <c r="F364" i="8"/>
  <c r="F363" i="8"/>
  <c r="F362" i="8"/>
  <c r="F361" i="8"/>
  <c r="F359" i="8"/>
  <c r="F358" i="8"/>
  <c r="F357" i="8"/>
  <c r="F356" i="8"/>
  <c r="F354" i="8"/>
  <c r="F353" i="8"/>
  <c r="F352" i="8"/>
  <c r="F351" i="8"/>
  <c r="F349" i="8"/>
  <c r="F348" i="8"/>
  <c r="F347" i="8"/>
  <c r="F346" i="8"/>
  <c r="F344" i="8"/>
  <c r="F343" i="8"/>
  <c r="F342" i="8"/>
  <c r="F341" i="8"/>
  <c r="F339" i="8"/>
  <c r="F338" i="8"/>
  <c r="F337" i="8"/>
  <c r="F336" i="8"/>
  <c r="F334" i="8"/>
  <c r="F333" i="8"/>
  <c r="F332" i="8"/>
  <c r="F331" i="8"/>
  <c r="F330" i="8"/>
  <c r="A330" i="8"/>
  <c r="A331" i="8" s="1"/>
  <c r="A332" i="8" s="1"/>
  <c r="A333" i="8" s="1"/>
  <c r="A334" i="8" s="1"/>
  <c r="A335" i="8" s="1"/>
  <c r="A336" i="8" s="1"/>
  <c r="A337" i="8" s="1"/>
  <c r="A338" i="8" s="1"/>
  <c r="A339" i="8" s="1"/>
  <c r="A340" i="8" s="1"/>
  <c r="A341" i="8" s="1"/>
  <c r="A342" i="8" s="1"/>
  <c r="A343" i="8" s="1"/>
  <c r="A344" i="8" s="1"/>
  <c r="A345" i="8" s="1"/>
  <c r="A346" i="8" s="1"/>
  <c r="A347" i="8" s="1"/>
  <c r="A348" i="8" s="1"/>
  <c r="A349" i="8" s="1"/>
  <c r="A350" i="8" s="1"/>
  <c r="A351" i="8" s="1"/>
  <c r="A352" i="8" s="1"/>
  <c r="A353" i="8" s="1"/>
  <c r="A354" i="8" s="1"/>
  <c r="A355" i="8" s="1"/>
  <c r="A356" i="8" s="1"/>
  <c r="A357" i="8" s="1"/>
  <c r="A358" i="8" s="1"/>
  <c r="A359" i="8" s="1"/>
  <c r="A360" i="8" s="1"/>
  <c r="A361" i="8" s="1"/>
  <c r="A362" i="8" s="1"/>
  <c r="A363" i="8" s="1"/>
  <c r="A364" i="8" s="1"/>
  <c r="A365" i="8" s="1"/>
  <c r="A366" i="8" s="1"/>
  <c r="A367" i="8" s="1"/>
  <c r="A368" i="8" s="1"/>
  <c r="A369" i="8" s="1"/>
  <c r="A370" i="8" s="1"/>
  <c r="A371" i="8" s="1"/>
  <c r="A372" i="8" s="1"/>
  <c r="A373" i="8" s="1"/>
  <c r="A374" i="8" s="1"/>
  <c r="A375" i="8" s="1"/>
  <c r="A376" i="8" s="1"/>
  <c r="A377" i="8" s="1"/>
  <c r="A378" i="8" s="1"/>
  <c r="A379" i="8" s="1"/>
  <c r="A380" i="8" s="1"/>
  <c r="A381" i="8" s="1"/>
  <c r="A382" i="8" s="1"/>
  <c r="A383" i="8" s="1"/>
  <c r="A384" i="8" s="1"/>
  <c r="A385" i="8" s="1"/>
  <c r="A386" i="8" s="1"/>
  <c r="A387" i="8" s="1"/>
  <c r="A388" i="8" s="1"/>
  <c r="A389" i="8" s="1"/>
  <c r="A390" i="8" s="1"/>
  <c r="A391" i="8" s="1"/>
  <c r="A392" i="8" s="1"/>
  <c r="A393" i="8" s="1"/>
  <c r="A394" i="8" s="1"/>
  <c r="A395" i="8" s="1"/>
  <c r="A396" i="8" s="1"/>
  <c r="A397" i="8" s="1"/>
  <c r="A398" i="8" s="1"/>
  <c r="A399" i="8" s="1"/>
  <c r="A400" i="8" s="1"/>
  <c r="A401" i="8" s="1"/>
  <c r="A402" i="8" s="1"/>
  <c r="A403" i="8" s="1"/>
  <c r="A404" i="8" s="1"/>
  <c r="A405" i="8" s="1"/>
  <c r="A406" i="8" s="1"/>
  <c r="A407" i="8" s="1"/>
  <c r="A408" i="8" s="1"/>
  <c r="A409" i="8" s="1"/>
  <c r="A410" i="8" s="1"/>
  <c r="A411" i="8" s="1"/>
  <c r="A412" i="8" s="1"/>
  <c r="A413" i="8" s="1"/>
  <c r="A414" i="8" s="1"/>
  <c r="A415" i="8" s="1"/>
  <c r="A416" i="8" s="1"/>
  <c r="A417" i="8" s="1"/>
  <c r="A418" i="8" s="1"/>
  <c r="A419" i="8" s="1"/>
  <c r="A420" i="8" s="1"/>
  <c r="A421" i="8" s="1"/>
  <c r="A422" i="8" s="1"/>
  <c r="A423" i="8" s="1"/>
  <c r="A424" i="8" s="1"/>
  <c r="A425" i="8" s="1"/>
  <c r="A426" i="8" s="1"/>
  <c r="A427" i="8" s="1"/>
  <c r="A428" i="8" s="1"/>
  <c r="A429" i="8" s="1"/>
  <c r="F329" i="8"/>
  <c r="F328" i="8"/>
  <c r="F327" i="8"/>
  <c r="F326" i="8"/>
  <c r="F324" i="8"/>
  <c r="F323" i="8"/>
  <c r="F322" i="8"/>
  <c r="F321" i="8"/>
  <c r="F319" i="8"/>
  <c r="F318" i="8"/>
  <c r="F317" i="8"/>
  <c r="F316" i="8"/>
  <c r="F314" i="8"/>
  <c r="F313" i="8"/>
  <c r="F312" i="8"/>
  <c r="F311" i="8"/>
  <c r="F309" i="8"/>
  <c r="F308" i="8"/>
  <c r="F307" i="8"/>
  <c r="F306" i="8"/>
  <c r="F304" i="8"/>
  <c r="F303" i="8"/>
  <c r="F302" i="8"/>
  <c r="F301" i="8"/>
  <c r="F299" i="8"/>
  <c r="F298" i="8"/>
  <c r="F297" i="8"/>
  <c r="F296" i="8"/>
  <c r="F294" i="8"/>
  <c r="F293" i="8"/>
  <c r="F292" i="8"/>
  <c r="F291" i="8"/>
  <c r="F289" i="8"/>
  <c r="F288" i="8"/>
  <c r="F287" i="8"/>
  <c r="F286" i="8"/>
  <c r="F284" i="8"/>
  <c r="F283" i="8"/>
  <c r="F282" i="8"/>
  <c r="F281" i="8"/>
  <c r="F279" i="8"/>
  <c r="F278" i="8"/>
  <c r="F277" i="8"/>
  <c r="F276" i="8"/>
  <c r="F274" i="8"/>
  <c r="F273" i="8"/>
  <c r="F272" i="8"/>
  <c r="F271" i="8"/>
  <c r="F269" i="8"/>
  <c r="F268" i="8"/>
  <c r="F267" i="8"/>
  <c r="F266" i="8"/>
  <c r="F264" i="8"/>
  <c r="F263" i="8"/>
  <c r="F262" i="8"/>
  <c r="F261" i="8"/>
  <c r="F259" i="8"/>
  <c r="F258" i="8"/>
  <c r="F257" i="8"/>
  <c r="F256" i="8"/>
  <c r="F254" i="8"/>
  <c r="F253" i="8"/>
  <c r="F252" i="8"/>
  <c r="F251" i="8"/>
  <c r="F249" i="8"/>
  <c r="F248" i="8"/>
  <c r="F247" i="8"/>
  <c r="F246" i="8"/>
  <c r="F244" i="8"/>
  <c r="F243" i="8"/>
  <c r="F242" i="8"/>
  <c r="F241" i="8"/>
  <c r="F239" i="8"/>
  <c r="F238" i="8"/>
  <c r="F237" i="8"/>
  <c r="F236" i="8"/>
  <c r="F234" i="8"/>
  <c r="F233" i="8"/>
  <c r="F232" i="8"/>
  <c r="F231" i="8"/>
  <c r="F229" i="8"/>
  <c r="F228" i="8"/>
  <c r="F227" i="8"/>
  <c r="F226" i="8"/>
  <c r="F224" i="8"/>
  <c r="F223" i="8"/>
  <c r="F222" i="8"/>
  <c r="F221" i="8"/>
  <c r="F219" i="8"/>
  <c r="F218" i="8"/>
  <c r="F217" i="8"/>
  <c r="F216" i="8"/>
  <c r="F214" i="8"/>
  <c r="F213" i="8"/>
  <c r="F212" i="8"/>
  <c r="F211" i="8"/>
  <c r="F209" i="8"/>
  <c r="F208" i="8"/>
  <c r="F207" i="8"/>
  <c r="F206" i="8"/>
  <c r="F204" i="8"/>
  <c r="F203" i="8"/>
  <c r="F202" i="8"/>
  <c r="F201" i="8"/>
  <c r="F199" i="8"/>
  <c r="F198" i="8"/>
  <c r="F197" i="8"/>
  <c r="F196" i="8"/>
  <c r="F194" i="8"/>
  <c r="F193" i="8"/>
  <c r="F192" i="8"/>
  <c r="F191" i="8"/>
  <c r="F189" i="8"/>
  <c r="F188" i="8"/>
  <c r="F187" i="8"/>
  <c r="F186" i="8"/>
  <c r="F184" i="8"/>
  <c r="F183" i="8"/>
  <c r="F182" i="8"/>
  <c r="F181" i="8"/>
  <c r="F179" i="8"/>
  <c r="F178" i="8"/>
  <c r="F177" i="8"/>
  <c r="F176" i="8"/>
  <c r="F174" i="8"/>
  <c r="F173" i="8"/>
  <c r="F172" i="8"/>
  <c r="F171" i="8"/>
  <c r="F169" i="8"/>
  <c r="F168" i="8"/>
  <c r="F167" i="8"/>
  <c r="F166" i="8"/>
  <c r="F164" i="8"/>
  <c r="F163" i="8"/>
  <c r="F162" i="8"/>
  <c r="F161" i="8"/>
  <c r="F159" i="8"/>
  <c r="F158" i="8"/>
  <c r="F157" i="8"/>
  <c r="F156" i="8"/>
  <c r="F155" i="8"/>
  <c r="F153" i="8"/>
  <c r="F152" i="8"/>
  <c r="F151" i="8"/>
  <c r="F150" i="8"/>
  <c r="F148" i="8"/>
  <c r="F147" i="8"/>
  <c r="F146" i="8"/>
  <c r="F145" i="8"/>
  <c r="F143" i="8"/>
  <c r="F142" i="8"/>
  <c r="F141" i="8"/>
  <c r="F140" i="8"/>
  <c r="F138" i="8"/>
  <c r="F137" i="8"/>
  <c r="F136" i="8"/>
  <c r="F135" i="8"/>
  <c r="F133" i="8"/>
  <c r="F132" i="8"/>
  <c r="F131" i="8"/>
  <c r="F130" i="8"/>
  <c r="F128" i="8"/>
  <c r="F127" i="8"/>
  <c r="F126" i="8"/>
  <c r="F125" i="8"/>
  <c r="F123" i="8"/>
  <c r="F122" i="8"/>
  <c r="F121" i="8"/>
  <c r="F120" i="8"/>
  <c r="F118" i="8"/>
  <c r="F117" i="8"/>
  <c r="F116" i="8"/>
  <c r="F115" i="8"/>
  <c r="F113" i="8"/>
  <c r="F112" i="8"/>
  <c r="F111" i="8"/>
  <c r="F110" i="8"/>
  <c r="F108" i="8"/>
  <c r="F107" i="8"/>
  <c r="F106" i="8"/>
  <c r="F105" i="8"/>
  <c r="F104" i="8"/>
  <c r="F103" i="8"/>
  <c r="F102" i="8"/>
  <c r="F101" i="8"/>
  <c r="F100" i="8"/>
  <c r="F98" i="8"/>
  <c r="F97" i="8"/>
  <c r="F96" i="8"/>
  <c r="F95" i="8"/>
  <c r="F93" i="8"/>
  <c r="F92" i="8"/>
  <c r="F91" i="8"/>
  <c r="F90" i="8"/>
  <c r="F88" i="8"/>
  <c r="F87" i="8"/>
  <c r="F86" i="8"/>
  <c r="F85" i="8"/>
  <c r="F84" i="8"/>
  <c r="F82" i="8"/>
  <c r="F81" i="8"/>
  <c r="F80" i="8"/>
  <c r="F79" i="8"/>
  <c r="F77" i="8"/>
  <c r="F76" i="8"/>
  <c r="F75" i="8"/>
  <c r="F74" i="8"/>
  <c r="F72" i="8"/>
  <c r="F71" i="8"/>
  <c r="F70" i="8"/>
  <c r="F69" i="8"/>
  <c r="F67" i="8"/>
  <c r="F66" i="8"/>
  <c r="F65" i="8"/>
  <c r="F64" i="8"/>
  <c r="F62" i="8"/>
  <c r="F61" i="8"/>
  <c r="F60" i="8"/>
  <c r="F59" i="8"/>
  <c r="F57" i="8"/>
  <c r="F56" i="8"/>
  <c r="F55" i="8"/>
  <c r="F54" i="8"/>
  <c r="F52" i="8"/>
  <c r="F51" i="8"/>
  <c r="F50" i="8"/>
  <c r="F49" i="8"/>
  <c r="F47" i="8"/>
  <c r="F46" i="8"/>
  <c r="F45" i="8"/>
  <c r="F44" i="8"/>
  <c r="F42" i="8"/>
  <c r="F41" i="8"/>
  <c r="F40" i="8"/>
  <c r="F39" i="8"/>
  <c r="F38" i="8"/>
  <c r="F37" i="8"/>
  <c r="F36" i="8"/>
  <c r="F35" i="8"/>
  <c r="F34" i="8"/>
  <c r="F32" i="8"/>
  <c r="F31" i="8"/>
  <c r="F30" i="8"/>
  <c r="F29" i="8"/>
  <c r="F27" i="8"/>
  <c r="F26" i="8"/>
  <c r="F25" i="8"/>
  <c r="F24" i="8"/>
  <c r="F22" i="8"/>
  <c r="F21" i="8"/>
  <c r="F20" i="8"/>
  <c r="F19" i="8"/>
  <c r="F17" i="8"/>
  <c r="F16" i="8"/>
  <c r="F15" i="8"/>
  <c r="F14" i="8"/>
  <c r="F12" i="8"/>
  <c r="F11" i="8"/>
  <c r="F10" i="8"/>
  <c r="F9" i="8"/>
  <c r="F7" i="8"/>
  <c r="F6" i="8"/>
  <c r="F5" i="8"/>
  <c r="F4" i="8"/>
  <c r="F3" i="8"/>
  <c r="A431" i="8" l="1"/>
  <c r="A432" i="8" s="1"/>
  <c r="A433" i="8" s="1"/>
  <c r="A434" i="8" s="1"/>
  <c r="A435" i="8" s="1"/>
  <c r="A436" i="8" s="1"/>
  <c r="A437" i="8" s="1"/>
  <c r="A438" i="8" s="1"/>
  <c r="A439" i="8" s="1"/>
  <c r="A440" i="8" s="1"/>
  <c r="A441" i="8" s="1"/>
  <c r="A442" i="8" s="1"/>
  <c r="A443" i="8" s="1"/>
  <c r="A444" i="8" s="1"/>
  <c r="A445" i="8" s="1"/>
  <c r="A446" i="8" s="1"/>
  <c r="A447" i="8" s="1"/>
  <c r="A448" i="8" s="1"/>
  <c r="A449" i="8" s="1"/>
  <c r="A450" i="8" s="1"/>
  <c r="A451" i="8" s="1"/>
  <c r="A452" i="8" s="1"/>
  <c r="A453" i="8" s="1"/>
  <c r="A454" i="8" s="1"/>
  <c r="A455" i="8" s="1"/>
  <c r="A456" i="8" s="1"/>
  <c r="A457" i="8" s="1"/>
  <c r="A458" i="8" s="1"/>
  <c r="A459" i="8" s="1"/>
  <c r="A460" i="8" s="1"/>
  <c r="A461" i="8" s="1"/>
  <c r="A462" i="8" s="1"/>
  <c r="A463" i="8" s="1"/>
  <c r="A464" i="8" s="1"/>
  <c r="A465" i="8" s="1"/>
  <c r="A466" i="8" s="1"/>
  <c r="A467" i="8" s="1"/>
  <c r="A468" i="8" s="1"/>
  <c r="A469" i="8" s="1"/>
  <c r="A470" i="8" s="1"/>
  <c r="A471" i="8" s="1"/>
  <c r="A472" i="8" s="1"/>
  <c r="A473" i="8" s="1"/>
  <c r="A474" i="8" s="1"/>
  <c r="A475" i="8" s="1"/>
  <c r="A476" i="8" s="1"/>
  <c r="A477" i="8" s="1"/>
  <c r="A478" i="8" s="1"/>
  <c r="A479" i="8" s="1"/>
  <c r="A480" i="8" s="1"/>
  <c r="A481" i="8" s="1"/>
  <c r="A482" i="8" s="1"/>
  <c r="A483" i="8" s="1"/>
  <c r="A484" i="8" s="1"/>
  <c r="A485" i="8" s="1"/>
  <c r="A486" i="8" s="1"/>
  <c r="A487" i="8" s="1"/>
  <c r="A488" i="8" s="1"/>
  <c r="A489" i="8" s="1"/>
  <c r="A490" i="8" s="1"/>
  <c r="A491" i="8" s="1"/>
  <c r="A492" i="8" s="1"/>
  <c r="A493" i="8" s="1"/>
  <c r="A494" i="8" s="1"/>
  <c r="A495" i="8" s="1"/>
  <c r="A496" i="8" s="1"/>
  <c r="A497" i="8" s="1"/>
  <c r="A498" i="8" s="1"/>
  <c r="A499" i="8" s="1"/>
  <c r="A500" i="8" s="1"/>
  <c r="A501" i="8" s="1"/>
  <c r="A502" i="8" s="1"/>
  <c r="A503" i="8" s="1"/>
  <c r="A504" i="8" s="1"/>
  <c r="A505" i="8" s="1"/>
  <c r="A506" i="8" s="1"/>
  <c r="A507" i="8" s="1"/>
  <c r="A508" i="8" s="1"/>
  <c r="A509" i="8" s="1"/>
  <c r="A510" i="8" s="1"/>
  <c r="A511" i="8" s="1"/>
  <c r="A512" i="8" s="1"/>
  <c r="A513" i="8" s="1"/>
  <c r="A514" i="8" s="1"/>
  <c r="A515" i="8" s="1"/>
  <c r="A516" i="8" s="1"/>
  <c r="A517" i="8" s="1"/>
  <c r="A518" i="8" s="1"/>
  <c r="A519" i="8" s="1"/>
  <c r="A520" i="8" s="1"/>
  <c r="A521" i="8" s="1"/>
  <c r="A522" i="8" s="1"/>
  <c r="A523" i="8" s="1"/>
  <c r="A524" i="8" s="1"/>
  <c r="A525" i="8" s="1"/>
  <c r="A526" i="8" s="1"/>
  <c r="A527" i="8" s="1"/>
  <c r="A528" i="8" s="1"/>
  <c r="A529" i="8" s="1"/>
  <c r="A530" i="8" s="1"/>
  <c r="A531" i="8" s="1"/>
  <c r="A532" i="8" s="1"/>
  <c r="A533" i="8" s="1"/>
  <c r="A534" i="8" s="1"/>
  <c r="A535" i="8" s="1"/>
  <c r="A536" i="8" s="1"/>
  <c r="A537" i="8" s="1"/>
  <c r="A538" i="8" s="1"/>
  <c r="A539" i="8" s="1"/>
  <c r="A540" i="8" s="1"/>
  <c r="A541" i="8" s="1"/>
  <c r="A542" i="8" s="1"/>
  <c r="A543" i="8" s="1"/>
  <c r="A544" i="8" s="1"/>
  <c r="A545" i="8" s="1"/>
  <c r="A546" i="8" s="1"/>
  <c r="A547" i="8" s="1"/>
  <c r="A548" i="8" s="1"/>
  <c r="A549" i="8" s="1"/>
  <c r="A550" i="8" s="1"/>
  <c r="A551" i="8" s="1"/>
  <c r="A552" i="8" s="1"/>
  <c r="A553" i="8" s="1"/>
  <c r="A554" i="8" s="1"/>
  <c r="A555" i="8" s="1"/>
  <c r="A556" i="8" s="1"/>
  <c r="A557" i="8" s="1"/>
  <c r="A558" i="8" s="1"/>
  <c r="A559" i="8" s="1"/>
  <c r="A560" i="8" s="1"/>
  <c r="A561" i="8" s="1"/>
  <c r="A562" i="8" s="1"/>
  <c r="A563" i="8" s="1"/>
  <c r="A564" i="8" s="1"/>
  <c r="A565" i="8" s="1"/>
  <c r="A566" i="8" s="1"/>
  <c r="A567" i="8" s="1"/>
  <c r="A568" i="8" s="1"/>
  <c r="A569" i="8" s="1"/>
  <c r="A570" i="8" s="1"/>
  <c r="A571" i="8" s="1"/>
  <c r="A572" i="8" s="1"/>
  <c r="A573" i="8" s="1"/>
  <c r="A574" i="8" s="1"/>
  <c r="A575" i="8" s="1"/>
  <c r="A576" i="8" s="1"/>
  <c r="A577" i="8" s="1"/>
  <c r="A578" i="8" s="1"/>
  <c r="A579" i="8" s="1"/>
  <c r="A580" i="8" s="1"/>
  <c r="A581" i="8" s="1"/>
  <c r="A582" i="8" s="1"/>
  <c r="A583" i="8" s="1"/>
  <c r="A584" i="8" s="1"/>
  <c r="A585" i="8" s="1"/>
  <c r="A586" i="8" s="1"/>
  <c r="A587" i="8" s="1"/>
  <c r="A588" i="8" s="1"/>
  <c r="A589" i="8" s="1"/>
  <c r="A590" i="8" s="1"/>
  <c r="A591" i="8" s="1"/>
  <c r="A592" i="8" s="1"/>
  <c r="A593" i="8" s="1"/>
  <c r="A594" i="8" s="1"/>
  <c r="A595" i="8" s="1"/>
  <c r="A596" i="8" s="1"/>
  <c r="A597" i="8" s="1"/>
  <c r="A598" i="8" s="1"/>
  <c r="A599" i="8" s="1"/>
  <c r="A600" i="8" s="1"/>
  <c r="A601" i="8" s="1"/>
  <c r="A602" i="8" s="1"/>
  <c r="A603" i="8" s="1"/>
  <c r="A604" i="8" s="1"/>
  <c r="A605" i="8" s="1"/>
  <c r="A606" i="8" s="1"/>
  <c r="A607" i="8" s="1"/>
  <c r="A608" i="8" s="1"/>
  <c r="A609" i="8" s="1"/>
  <c r="A610" i="8" s="1"/>
  <c r="A611" i="8" s="1"/>
  <c r="A612" i="8" s="1"/>
  <c r="A613" i="8" s="1"/>
  <c r="A614" i="8" s="1"/>
  <c r="A615" i="8" s="1"/>
  <c r="A616" i="8" s="1"/>
  <c r="A617" i="8" s="1"/>
  <c r="A618" i="8" s="1"/>
  <c r="A619" i="8" s="1"/>
  <c r="A620" i="8" s="1"/>
  <c r="A621" i="8" s="1"/>
  <c r="A622" i="8" s="1"/>
  <c r="A623" i="8" s="1"/>
  <c r="A624" i="8" s="1"/>
  <c r="A625" i="8" s="1"/>
  <c r="A626" i="8" s="1"/>
  <c r="A627" i="8" s="1"/>
  <c r="A628" i="8" s="1"/>
  <c r="A629" i="8" s="1"/>
  <c r="A630" i="8" s="1"/>
  <c r="A631" i="8" s="1"/>
  <c r="A632" i="8" s="1"/>
  <c r="A633" i="8" s="1"/>
  <c r="A634" i="8" s="1"/>
  <c r="A635" i="8" s="1"/>
  <c r="A636" i="8" s="1"/>
  <c r="A637" i="8" s="1"/>
  <c r="A638" i="8" s="1"/>
  <c r="A639" i="8" s="1"/>
  <c r="A640" i="8" s="1"/>
  <c r="A641" i="8" s="1"/>
  <c r="A642" i="8" s="1"/>
  <c r="A643" i="8" s="1"/>
  <c r="A644" i="8" s="1"/>
  <c r="A645" i="8" s="1"/>
  <c r="A646" i="8" s="1"/>
  <c r="A647" i="8" s="1"/>
  <c r="A648" i="8" s="1"/>
  <c r="A649" i="8" s="1"/>
  <c r="A650" i="8" s="1"/>
  <c r="A651" i="8" s="1"/>
  <c r="A652" i="8" s="1"/>
  <c r="A653" i="8" s="1"/>
  <c r="A654" i="8" s="1"/>
  <c r="A655" i="8" s="1"/>
  <c r="A656" i="8" s="1"/>
  <c r="A657" i="8" s="1"/>
  <c r="A658" i="8" s="1"/>
  <c r="A659" i="8" s="1"/>
  <c r="A660" i="8" s="1"/>
  <c r="A661" i="8" s="1"/>
  <c r="A662" i="8" s="1"/>
  <c r="A663" i="8" s="1"/>
  <c r="A664" i="8" s="1"/>
  <c r="A665" i="8" s="1"/>
  <c r="A666" i="8" s="1"/>
  <c r="A667" i="8" s="1"/>
  <c r="A668" i="8" s="1"/>
  <c r="A669" i="8" s="1"/>
  <c r="A670" i="8" s="1"/>
  <c r="A671" i="8" s="1"/>
  <c r="A672" i="8" s="1"/>
  <c r="A673" i="8" s="1"/>
  <c r="A674" i="8" s="1"/>
  <c r="A675" i="8" s="1"/>
  <c r="A676" i="8" s="1"/>
  <c r="A677" i="8" s="1"/>
  <c r="A678" i="8" s="1"/>
  <c r="A679" i="8" s="1"/>
  <c r="A680" i="8" s="1"/>
  <c r="A681" i="8" s="1"/>
  <c r="A682" i="8" s="1"/>
  <c r="A683" i="8" s="1"/>
  <c r="A684" i="8" s="1"/>
  <c r="A685" i="8" s="1"/>
  <c r="A686" i="8" s="1"/>
  <c r="A687" i="8" s="1"/>
  <c r="A688" i="8" s="1"/>
  <c r="A689" i="8" s="1"/>
  <c r="A690" i="8" s="1"/>
  <c r="A691" i="8" s="1"/>
  <c r="A692" i="8" s="1"/>
  <c r="A693" i="8" s="1"/>
  <c r="A694" i="8" s="1"/>
  <c r="A695" i="8" s="1"/>
  <c r="A696" i="8" s="1"/>
  <c r="A697" i="8" s="1"/>
  <c r="A698" i="8" s="1"/>
  <c r="A699" i="8" s="1"/>
  <c r="A700" i="8" s="1"/>
  <c r="A701" i="8" s="1"/>
  <c r="A702" i="8" s="1"/>
  <c r="A703" i="8" s="1"/>
  <c r="A704" i="8" s="1"/>
  <c r="A705" i="8" s="1"/>
  <c r="A706" i="8" s="1"/>
  <c r="A707" i="8" s="1"/>
  <c r="A708" i="8" s="1"/>
  <c r="A709" i="8" s="1"/>
  <c r="A710" i="8" s="1"/>
  <c r="A711" i="8" s="1"/>
  <c r="A712" i="8" s="1"/>
  <c r="A713" i="8" s="1"/>
  <c r="A714" i="8" s="1"/>
  <c r="A715" i="8" s="1"/>
  <c r="A716" i="8" s="1"/>
  <c r="A717" i="8" s="1"/>
  <c r="A718" i="8" s="1"/>
  <c r="A719" i="8" s="1"/>
  <c r="A720" i="8" s="1"/>
  <c r="A721" i="8" s="1"/>
  <c r="A722" i="8" s="1"/>
  <c r="A723" i="8" s="1"/>
  <c r="A724" i="8" s="1"/>
  <c r="A725" i="8" s="1"/>
  <c r="A726" i="8" s="1"/>
  <c r="A727" i="8" s="1"/>
  <c r="A728" i="8" s="1"/>
  <c r="A729" i="8" s="1"/>
  <c r="A730" i="8" s="1"/>
  <c r="A731" i="8" s="1"/>
  <c r="A732" i="8" s="1"/>
  <c r="A733" i="8" s="1"/>
  <c r="A734" i="8" s="1"/>
  <c r="A735" i="8" s="1"/>
  <c r="A736" i="8" s="1"/>
  <c r="A737" i="8" s="1"/>
  <c r="A738" i="8" s="1"/>
  <c r="A739" i="8" s="1"/>
  <c r="A740" i="8" s="1"/>
  <c r="A741" i="8" s="1"/>
  <c r="A742" i="8" s="1"/>
  <c r="A743" i="8" s="1"/>
  <c r="A744" i="8" s="1"/>
  <c r="A745" i="8" s="1"/>
  <c r="A746" i="8" s="1"/>
  <c r="A747" i="8" s="1"/>
  <c r="A748" i="8" s="1"/>
  <c r="A749" i="8" s="1"/>
  <c r="A750" i="8" s="1"/>
  <c r="A430" i="8"/>
  <c r="A753" i="8" l="1"/>
  <c r="A754" i="8" s="1"/>
  <c r="A755" i="8" s="1"/>
  <c r="A756" i="8" s="1"/>
  <c r="A757" i="8" s="1"/>
  <c r="A758" i="8" s="1"/>
  <c r="A759" i="8" s="1"/>
  <c r="A760" i="8" s="1"/>
  <c r="A761" i="8" s="1"/>
  <c r="A762" i="8" s="1"/>
  <c r="A763" i="8" s="1"/>
  <c r="A764" i="8" s="1"/>
  <c r="A765" i="8" s="1"/>
  <c r="A766" i="8" s="1"/>
  <c r="A767" i="8" s="1"/>
  <c r="A768" i="8" s="1"/>
  <c r="A769" i="8" s="1"/>
  <c r="A770" i="8" s="1"/>
  <c r="A771" i="8" s="1"/>
  <c r="A772" i="8" s="1"/>
  <c r="A773" i="8" s="1"/>
  <c r="A774" i="8" s="1"/>
  <c r="A775" i="8" s="1"/>
  <c r="A776" i="8" s="1"/>
  <c r="A777" i="8" s="1"/>
  <c r="A778" i="8" s="1"/>
  <c r="A779" i="8" s="1"/>
  <c r="A780" i="8" s="1"/>
  <c r="A781" i="8" s="1"/>
  <c r="A782" i="8" s="1"/>
  <c r="A783" i="8" s="1"/>
  <c r="A784" i="8" s="1"/>
  <c r="A785" i="8" s="1"/>
  <c r="A786" i="8" s="1"/>
  <c r="A787" i="8" s="1"/>
  <c r="A788" i="8" s="1"/>
  <c r="A789" i="8" s="1"/>
  <c r="A790" i="8" s="1"/>
  <c r="A791" i="8" s="1"/>
  <c r="A792" i="8" s="1"/>
  <c r="A793" i="8" s="1"/>
  <c r="A794" i="8" s="1"/>
  <c r="A795" i="8" s="1"/>
  <c r="A796" i="8" s="1"/>
  <c r="A797" i="8" s="1"/>
  <c r="A798" i="8" s="1"/>
  <c r="A799" i="8" s="1"/>
  <c r="A800" i="8" s="1"/>
  <c r="A801" i="8" s="1"/>
  <c r="A802" i="8" s="1"/>
  <c r="A803" i="8" s="1"/>
  <c r="A804" i="8" s="1"/>
  <c r="A805" i="8" s="1"/>
  <c r="A806" i="8" s="1"/>
  <c r="A807" i="8" s="1"/>
  <c r="A808" i="8" s="1"/>
  <c r="A809" i="8" s="1"/>
  <c r="A810" i="8" s="1"/>
  <c r="A811" i="8" s="1"/>
  <c r="A812" i="8" s="1"/>
  <c r="A813" i="8" s="1"/>
  <c r="A814" i="8" s="1"/>
  <c r="A815" i="8" s="1"/>
  <c r="A816" i="8" s="1"/>
  <c r="A817" i="8" s="1"/>
  <c r="A818" i="8" s="1"/>
  <c r="A819" i="8" s="1"/>
  <c r="A820" i="8" s="1"/>
  <c r="A821" i="8" s="1"/>
  <c r="A822" i="8" s="1"/>
  <c r="A823" i="8" s="1"/>
  <c r="A824" i="8" s="1"/>
  <c r="A825" i="8" s="1"/>
  <c r="A826" i="8" s="1"/>
  <c r="A827" i="8" s="1"/>
  <c r="A828" i="8" s="1"/>
  <c r="A829" i="8" s="1"/>
  <c r="A830" i="8" s="1"/>
  <c r="A831" i="8" s="1"/>
  <c r="A832" i="8" s="1"/>
  <c r="A833" i="8" s="1"/>
  <c r="A834" i="8" s="1"/>
  <c r="A835" i="8" s="1"/>
  <c r="A836" i="8" s="1"/>
  <c r="A837" i="8" s="1"/>
  <c r="A838" i="8" s="1"/>
  <c r="A839" i="8" s="1"/>
  <c r="A840" i="8" s="1"/>
  <c r="A841" i="8" s="1"/>
  <c r="A842" i="8" s="1"/>
  <c r="A843" i="8" s="1"/>
  <c r="A844" i="8" s="1"/>
  <c r="A845" i="8" s="1"/>
  <c r="A846" i="8" s="1"/>
  <c r="A847" i="8" s="1"/>
  <c r="A848" i="8" s="1"/>
  <c r="A849" i="8" s="1"/>
  <c r="A850" i="8" s="1"/>
  <c r="A851" i="8" s="1"/>
  <c r="A852" i="8" s="1"/>
  <c r="A853" i="8" s="1"/>
  <c r="A854" i="8" s="1"/>
  <c r="A855" i="8" s="1"/>
  <c r="A856" i="8" s="1"/>
  <c r="A857" i="8" s="1"/>
  <c r="A858" i="8" s="1"/>
  <c r="A859" i="8" s="1"/>
  <c r="A860" i="8" s="1"/>
  <c r="A861" i="8" s="1"/>
  <c r="A862" i="8" s="1"/>
  <c r="A863" i="8" s="1"/>
  <c r="A864" i="8" s="1"/>
  <c r="A865" i="8" s="1"/>
  <c r="A866" i="8" s="1"/>
  <c r="A867" i="8" s="1"/>
  <c r="A868" i="8" s="1"/>
  <c r="A869" i="8" s="1"/>
  <c r="A870" i="8" s="1"/>
  <c r="A871" i="8" s="1"/>
  <c r="A872" i="8" s="1"/>
  <c r="A873" i="8" s="1"/>
  <c r="A874" i="8" s="1"/>
  <c r="A875" i="8" s="1"/>
  <c r="A876" i="8" s="1"/>
  <c r="A877" i="8" s="1"/>
  <c r="A878" i="8" s="1"/>
  <c r="A879" i="8" s="1"/>
  <c r="A880" i="8" s="1"/>
  <c r="A881" i="8" s="1"/>
  <c r="A882" i="8" s="1"/>
  <c r="A883" i="8" s="1"/>
  <c r="A884" i="8" s="1"/>
  <c r="A885" i="8" s="1"/>
  <c r="A886" i="8" s="1"/>
  <c r="A887" i="8" s="1"/>
  <c r="A888" i="8" s="1"/>
  <c r="A889" i="8" s="1"/>
  <c r="A890" i="8" s="1"/>
  <c r="A891" i="8" s="1"/>
  <c r="A892" i="8" s="1"/>
  <c r="A893" i="8" s="1"/>
  <c r="A894" i="8" s="1"/>
  <c r="A895" i="8" s="1"/>
  <c r="A896" i="8" s="1"/>
  <c r="A897" i="8" s="1"/>
  <c r="A898" i="8" s="1"/>
  <c r="A899" i="8" s="1"/>
  <c r="A900" i="8" s="1"/>
  <c r="A901" i="8" s="1"/>
  <c r="A902" i="8" s="1"/>
  <c r="A903" i="8" s="1"/>
  <c r="A904" i="8" s="1"/>
  <c r="A905" i="8" s="1"/>
  <c r="A906" i="8" s="1"/>
  <c r="A907" i="8" s="1"/>
  <c r="A908" i="8" s="1"/>
  <c r="A909" i="8" s="1"/>
  <c r="A910" i="8" s="1"/>
  <c r="A911" i="8" s="1"/>
  <c r="A912" i="8" s="1"/>
  <c r="A913" i="8" s="1"/>
  <c r="A914" i="8" s="1"/>
  <c r="A915" i="8" s="1"/>
  <c r="A916" i="8" s="1"/>
  <c r="A917" i="8" s="1"/>
  <c r="A918" i="8" s="1"/>
  <c r="A919" i="8" s="1"/>
  <c r="A920" i="8" s="1"/>
  <c r="A921" i="8" s="1"/>
  <c r="A922" i="8" s="1"/>
  <c r="A923" i="8" s="1"/>
  <c r="A924" i="8" s="1"/>
  <c r="A925" i="8" s="1"/>
  <c r="A926" i="8" s="1"/>
  <c r="A927" i="8" s="1"/>
  <c r="A928" i="8" s="1"/>
  <c r="A929" i="8" s="1"/>
  <c r="A930" i="8" s="1"/>
  <c r="A931" i="8" s="1"/>
  <c r="A932" i="8" s="1"/>
  <c r="A933" i="8" s="1"/>
  <c r="A934" i="8" s="1"/>
  <c r="A935" i="8" s="1"/>
  <c r="A936" i="8" s="1"/>
  <c r="A937" i="8" s="1"/>
  <c r="A938" i="8" s="1"/>
  <c r="A939" i="8" s="1"/>
  <c r="A940" i="8" s="1"/>
  <c r="A941" i="8" s="1"/>
  <c r="A942" i="8" s="1"/>
  <c r="A943" i="8" s="1"/>
  <c r="A944" i="8" s="1"/>
  <c r="A945" i="8" s="1"/>
  <c r="A946" i="8" s="1"/>
  <c r="A947" i="8" s="1"/>
  <c r="A948" i="8" s="1"/>
  <c r="A949" i="8" s="1"/>
  <c r="A950" i="8" s="1"/>
  <c r="A951" i="8" s="1"/>
  <c r="A952" i="8" s="1"/>
  <c r="A953" i="8" s="1"/>
  <c r="A954" i="8" s="1"/>
  <c r="A955" i="8" s="1"/>
  <c r="A956" i="8" s="1"/>
  <c r="A957" i="8" s="1"/>
  <c r="A958" i="8" s="1"/>
  <c r="A959" i="8" s="1"/>
  <c r="A960" i="8" s="1"/>
  <c r="A961" i="8" s="1"/>
  <c r="A962" i="8" s="1"/>
  <c r="A963" i="8" s="1"/>
  <c r="A964" i="8" s="1"/>
  <c r="A965" i="8" s="1"/>
  <c r="A966" i="8" s="1"/>
  <c r="A967" i="8" s="1"/>
  <c r="A968" i="8" s="1"/>
  <c r="A969" i="8" s="1"/>
  <c r="A970" i="8" s="1"/>
  <c r="A971" i="8" s="1"/>
  <c r="A972" i="8" s="1"/>
  <c r="A973" i="8" s="1"/>
  <c r="A974" i="8" s="1"/>
  <c r="A975" i="8" s="1"/>
  <c r="A976" i="8" s="1"/>
  <c r="A977" i="8" s="1"/>
  <c r="A978" i="8" s="1"/>
  <c r="A979" i="8" s="1"/>
  <c r="A980" i="8" s="1"/>
  <c r="A981" i="8" s="1"/>
  <c r="A982" i="8" s="1"/>
  <c r="A751" i="8"/>
  <c r="A752" i="8" s="1"/>
  <c r="F4" i="7" l="1"/>
  <c r="F5" i="7"/>
  <c r="F6" i="7"/>
  <c r="F8" i="7"/>
  <c r="F9" i="7"/>
  <c r="F10" i="7"/>
  <c r="F11" i="7"/>
  <c r="F13" i="7"/>
  <c r="F14" i="7"/>
  <c r="F15" i="7"/>
  <c r="F16" i="7"/>
  <c r="F17" i="7"/>
  <c r="F19" i="7"/>
  <c r="F20" i="7"/>
  <c r="F21" i="7"/>
  <c r="F22" i="7"/>
  <c r="F24" i="7"/>
  <c r="F25" i="7"/>
  <c r="F26" i="7"/>
  <c r="F27" i="7"/>
  <c r="F29" i="7"/>
  <c r="F30" i="7"/>
  <c r="F31" i="7"/>
  <c r="F32" i="7"/>
  <c r="F34" i="7"/>
  <c r="F35" i="7"/>
  <c r="F36" i="7"/>
  <c r="F37" i="7"/>
  <c r="F39" i="7"/>
  <c r="F40" i="7"/>
  <c r="F41" i="7"/>
  <c r="F42" i="7"/>
  <c r="F44" i="7"/>
  <c r="F45" i="7"/>
  <c r="F46" i="7"/>
  <c r="F47" i="7"/>
  <c r="F49" i="7"/>
  <c r="F50" i="7"/>
  <c r="F51" i="7"/>
  <c r="F52" i="7"/>
  <c r="F54" i="7"/>
  <c r="F55" i="7"/>
  <c r="F56" i="7"/>
  <c r="F57" i="7"/>
  <c r="F59" i="7"/>
  <c r="F60" i="7"/>
  <c r="F62" i="7"/>
  <c r="F63" i="7"/>
  <c r="F64" i="7"/>
  <c r="F65" i="7"/>
  <c r="F67" i="7"/>
  <c r="F68" i="7"/>
  <c r="F69" i="7"/>
  <c r="F70" i="7"/>
  <c r="F72" i="7"/>
  <c r="F73" i="7"/>
  <c r="F74" i="7"/>
  <c r="F75" i="7"/>
  <c r="F77" i="7"/>
  <c r="F78" i="7"/>
  <c r="F79" i="7"/>
  <c r="F80" i="7"/>
  <c r="F82" i="7"/>
  <c r="F83" i="7"/>
  <c r="F84" i="7"/>
  <c r="F85" i="7"/>
  <c r="F87" i="7"/>
  <c r="F88" i="7"/>
  <c r="F89" i="7"/>
  <c r="F90" i="7"/>
  <c r="F92" i="7"/>
  <c r="F93" i="7"/>
  <c r="F94" i="7"/>
  <c r="F95" i="7"/>
  <c r="F97" i="7"/>
  <c r="F98" i="7"/>
  <c r="F99" i="7"/>
  <c r="F100" i="7"/>
  <c r="F102" i="7"/>
  <c r="F103" i="7"/>
  <c r="F104" i="7"/>
  <c r="F105" i="7"/>
  <c r="F107" i="7"/>
  <c r="F108" i="7"/>
  <c r="F109" i="7"/>
  <c r="F110" i="7"/>
  <c r="F112" i="7"/>
  <c r="F113" i="7"/>
  <c r="F114" i="7"/>
  <c r="F115" i="7"/>
  <c r="F117" i="7"/>
  <c r="F118" i="7"/>
  <c r="F119" i="7"/>
  <c r="F120" i="7"/>
  <c r="F122" i="7"/>
  <c r="F123" i="7"/>
  <c r="F124" i="7"/>
  <c r="F125" i="7"/>
  <c r="F127" i="7"/>
  <c r="F128" i="7"/>
  <c r="F129" i="7"/>
  <c r="F130" i="7"/>
  <c r="F132" i="7"/>
  <c r="F133" i="7"/>
  <c r="F134" i="7"/>
  <c r="F135" i="7"/>
  <c r="F137" i="7"/>
  <c r="F138" i="7"/>
  <c r="F139" i="7"/>
  <c r="F140" i="7"/>
  <c r="F142" i="7"/>
  <c r="F143" i="7"/>
  <c r="F144" i="7"/>
  <c r="F145" i="7"/>
  <c r="F147" i="7"/>
  <c r="F148" i="7"/>
  <c r="F149" i="7"/>
  <c r="F150" i="7"/>
  <c r="F152" i="7"/>
  <c r="F153" i="7"/>
  <c r="F154" i="7"/>
  <c r="F155" i="7"/>
  <c r="F157" i="7"/>
  <c r="F158" i="7"/>
  <c r="F159" i="7"/>
  <c r="F160" i="7"/>
  <c r="F162" i="7"/>
  <c r="F163" i="7"/>
  <c r="F165" i="7"/>
  <c r="F166" i="7"/>
  <c r="F167" i="7"/>
  <c r="F168" i="7"/>
  <c r="F170" i="7"/>
  <c r="F171" i="7"/>
  <c r="F172" i="7"/>
  <c r="F173" i="7"/>
  <c r="F175" i="7"/>
  <c r="F176" i="7"/>
  <c r="F177" i="7"/>
  <c r="F178" i="7"/>
  <c r="F180" i="7"/>
  <c r="F181" i="7"/>
  <c r="F182" i="7"/>
  <c r="F183" i="7"/>
  <c r="F184" i="7"/>
  <c r="F186" i="7"/>
  <c r="F187" i="7"/>
  <c r="F188" i="7"/>
  <c r="F189" i="7"/>
  <c r="F191" i="7"/>
  <c r="F192" i="7"/>
  <c r="F193" i="7"/>
  <c r="F194" i="7"/>
  <c r="F196" i="7"/>
  <c r="F197" i="7"/>
  <c r="F198" i="7"/>
  <c r="F199" i="7"/>
  <c r="F201" i="7"/>
  <c r="F202" i="7"/>
  <c r="F203" i="7"/>
  <c r="F204" i="7"/>
  <c r="F206" i="7"/>
  <c r="F207" i="7"/>
  <c r="F208" i="7"/>
  <c r="F209" i="7"/>
  <c r="F211" i="7"/>
  <c r="F212" i="7"/>
  <c r="F213" i="7"/>
  <c r="F214" i="7"/>
  <c r="F216" i="7"/>
  <c r="F217" i="7"/>
  <c r="F218" i="7"/>
  <c r="F219" i="7"/>
  <c r="F221" i="7"/>
  <c r="F222" i="7"/>
  <c r="F223" i="7"/>
  <c r="F224" i="7"/>
  <c r="F225" i="7"/>
  <c r="F227" i="7"/>
  <c r="F228" i="7"/>
  <c r="F230" i="7"/>
  <c r="F231" i="7"/>
  <c r="F232" i="7"/>
  <c r="F233" i="7"/>
  <c r="F235" i="7"/>
  <c r="F236" i="7"/>
  <c r="F237" i="7"/>
  <c r="F238" i="7"/>
  <c r="F240" i="7"/>
  <c r="F241" i="7"/>
  <c r="F242" i="7"/>
  <c r="F243" i="7"/>
  <c r="F245" i="7"/>
  <c r="F246" i="7"/>
  <c r="F247" i="7"/>
  <c r="F248" i="7"/>
  <c r="F250" i="7"/>
  <c r="F251" i="7"/>
  <c r="F252" i="7"/>
  <c r="F253" i="7"/>
  <c r="F255" i="7"/>
  <c r="F256" i="7"/>
  <c r="F257" i="7"/>
  <c r="F258" i="7"/>
  <c r="F259" i="7"/>
  <c r="F261" i="7"/>
  <c r="F262" i="7"/>
  <c r="F263" i="7"/>
  <c r="F264" i="7"/>
  <c r="F266" i="7"/>
  <c r="F267" i="7"/>
  <c r="F268" i="7"/>
  <c r="F269" i="7"/>
  <c r="F271" i="7"/>
  <c r="F272" i="7"/>
  <c r="F273" i="7"/>
  <c r="F274" i="7"/>
  <c r="F276" i="7"/>
  <c r="F277" i="7"/>
  <c r="F278" i="7"/>
  <c r="F279" i="7"/>
  <c r="F281" i="7"/>
  <c r="F282" i="7"/>
  <c r="F283" i="7"/>
  <c r="F284" i="7"/>
  <c r="F286" i="7"/>
  <c r="F287" i="7"/>
  <c r="F288" i="7"/>
  <c r="F289" i="7"/>
  <c r="F291" i="7"/>
  <c r="F292" i="7"/>
  <c r="F293" i="7"/>
  <c r="F294" i="7"/>
  <c r="F296" i="7"/>
  <c r="F297" i="7"/>
  <c r="F298" i="7"/>
  <c r="F299" i="7"/>
  <c r="F301" i="7"/>
  <c r="F302" i="7"/>
  <c r="F303" i="7"/>
  <c r="F304" i="7"/>
  <c r="F306" i="7"/>
  <c r="F307" i="7"/>
  <c r="F308" i="7"/>
  <c r="F309" i="7"/>
  <c r="F311" i="7"/>
  <c r="F312" i="7"/>
  <c r="F313" i="7"/>
  <c r="F314" i="7"/>
  <c r="F316" i="7"/>
  <c r="F317" i="7"/>
  <c r="F318" i="7"/>
  <c r="F319" i="7"/>
  <c r="F321" i="7"/>
  <c r="F322" i="7"/>
  <c r="F323" i="7"/>
  <c r="F324" i="7"/>
  <c r="F3" i="7"/>
  <c r="F4" i="6"/>
  <c r="F6" i="6"/>
  <c r="F7" i="6"/>
  <c r="F8" i="6"/>
  <c r="F9" i="6"/>
  <c r="F10" i="6"/>
  <c r="F12" i="6"/>
  <c r="F13" i="6"/>
  <c r="F14" i="6"/>
  <c r="F15" i="6"/>
  <c r="F16" i="6"/>
  <c r="F18" i="6"/>
  <c r="F19" i="6"/>
  <c r="F21" i="6"/>
  <c r="F22" i="6"/>
  <c r="F23" i="6"/>
  <c r="F24" i="6"/>
  <c r="F26" i="6"/>
  <c r="F27" i="6"/>
  <c r="F28" i="6"/>
  <c r="F29" i="6"/>
  <c r="F31" i="6"/>
  <c r="F32" i="6"/>
  <c r="F33" i="6"/>
  <c r="F34" i="6"/>
  <c r="F35" i="6"/>
  <c r="F37" i="6"/>
  <c r="F38" i="6"/>
  <c r="F39" i="6"/>
  <c r="F40" i="6"/>
  <c r="F42" i="6"/>
  <c r="F43" i="6"/>
  <c r="F44" i="6"/>
  <c r="F45" i="6"/>
  <c r="F46" i="6"/>
  <c r="F48" i="6"/>
  <c r="F49" i="6"/>
  <c r="F50" i="6"/>
  <c r="F51" i="6"/>
  <c r="F53" i="6"/>
  <c r="F54" i="6"/>
  <c r="F55" i="6"/>
  <c r="F56" i="6"/>
  <c r="F58" i="6"/>
  <c r="F59" i="6"/>
  <c r="F60" i="6"/>
  <c r="F61" i="6"/>
  <c r="F63" i="6"/>
  <c r="F64" i="6"/>
  <c r="F65" i="6"/>
  <c r="F66" i="6"/>
  <c r="F68" i="6"/>
  <c r="F69" i="6"/>
  <c r="F70" i="6"/>
  <c r="F71" i="6"/>
  <c r="F72" i="6"/>
  <c r="F73" i="6"/>
  <c r="F74" i="6"/>
  <c r="F76" i="6"/>
  <c r="F77" i="6"/>
  <c r="F78" i="6"/>
  <c r="F79" i="6"/>
  <c r="F81" i="6"/>
  <c r="F82" i="6"/>
  <c r="F83" i="6"/>
  <c r="F84" i="6"/>
  <c r="F86" i="6"/>
  <c r="F87" i="6"/>
  <c r="F88" i="6"/>
  <c r="F89" i="6"/>
  <c r="F91" i="6"/>
  <c r="F92" i="6"/>
  <c r="F93" i="6"/>
  <c r="F94" i="6"/>
  <c r="F95" i="6"/>
  <c r="F97" i="6"/>
  <c r="F98" i="6"/>
  <c r="F99" i="6"/>
  <c r="F100" i="6"/>
  <c r="F101" i="6"/>
  <c r="F102" i="6"/>
  <c r="F103" i="6"/>
  <c r="F105" i="6"/>
  <c r="F106" i="6"/>
  <c r="F108" i="6"/>
  <c r="F109" i="6"/>
  <c r="F110" i="6"/>
  <c r="F111" i="6"/>
  <c r="F113" i="6"/>
  <c r="F114" i="6"/>
  <c r="F115" i="6"/>
  <c r="F116" i="6"/>
  <c r="F117" i="6"/>
  <c r="F119" i="6"/>
  <c r="F120" i="6"/>
  <c r="F121" i="6"/>
  <c r="F122" i="6"/>
  <c r="F123" i="6"/>
  <c r="F125" i="6"/>
  <c r="F126" i="6"/>
  <c r="F127" i="6"/>
  <c r="F128" i="6"/>
  <c r="F129" i="6"/>
  <c r="F131" i="6"/>
  <c r="F132" i="6"/>
  <c r="F133" i="6"/>
  <c r="F134" i="6"/>
  <c r="F136" i="6"/>
  <c r="F137" i="6"/>
  <c r="F138" i="6"/>
  <c r="F139" i="6"/>
  <c r="F141" i="6"/>
  <c r="F142" i="6"/>
  <c r="F143" i="6"/>
  <c r="F144" i="6"/>
  <c r="F146" i="6"/>
  <c r="F147" i="6"/>
  <c r="F148" i="6"/>
  <c r="F149" i="6"/>
  <c r="F151" i="6"/>
  <c r="F152" i="6"/>
  <c r="F153" i="6"/>
  <c r="F154" i="6"/>
  <c r="F156" i="6"/>
  <c r="F157" i="6"/>
  <c r="F158" i="6"/>
  <c r="F159" i="6"/>
  <c r="F161" i="6"/>
  <c r="F162" i="6"/>
  <c r="F163" i="6"/>
  <c r="F164" i="6"/>
  <c r="F166" i="6"/>
  <c r="F167" i="6"/>
  <c r="F168" i="6"/>
  <c r="F169" i="6"/>
  <c r="F171" i="6"/>
  <c r="F172" i="6"/>
  <c r="F173" i="6"/>
  <c r="F174" i="6"/>
  <c r="F176" i="6"/>
  <c r="F177" i="6"/>
  <c r="F178" i="6"/>
  <c r="F179" i="6"/>
  <c r="F181" i="6"/>
  <c r="F182" i="6"/>
  <c r="F183" i="6"/>
  <c r="F184" i="6"/>
  <c r="F186" i="6"/>
  <c r="F187" i="6"/>
  <c r="F188" i="6"/>
  <c r="F189" i="6"/>
  <c r="F191" i="6"/>
  <c r="F192" i="6"/>
  <c r="F194" i="6"/>
  <c r="F195" i="6"/>
  <c r="F196" i="6"/>
  <c r="F197" i="6"/>
  <c r="F199" i="6"/>
  <c r="F200" i="6"/>
  <c r="F201" i="6"/>
  <c r="F202" i="6"/>
  <c r="F204" i="6"/>
  <c r="F205" i="6"/>
  <c r="F206" i="6"/>
  <c r="F207" i="6"/>
  <c r="F209" i="6"/>
  <c r="F210" i="6"/>
  <c r="F211" i="6"/>
  <c r="F212" i="6"/>
  <c r="F214" i="6"/>
  <c r="F215" i="6"/>
  <c r="F216" i="6"/>
  <c r="F217" i="6"/>
  <c r="F218" i="6"/>
  <c r="F220" i="6"/>
  <c r="F221" i="6"/>
  <c r="F222" i="6"/>
  <c r="F223" i="6"/>
  <c r="F225" i="6"/>
  <c r="F226" i="6"/>
  <c r="F228" i="6"/>
  <c r="F229" i="6"/>
  <c r="F230" i="6"/>
  <c r="F231" i="6"/>
  <c r="F233" i="6"/>
  <c r="F234" i="6"/>
  <c r="F235" i="6"/>
  <c r="F236" i="6"/>
  <c r="F238" i="6"/>
  <c r="F239" i="6"/>
  <c r="F240" i="6"/>
  <c r="F241" i="6"/>
  <c r="F243" i="6"/>
  <c r="F244" i="6"/>
  <c r="F245" i="6"/>
  <c r="F246" i="6"/>
  <c r="F248" i="6"/>
  <c r="F249" i="6"/>
  <c r="F250" i="6"/>
  <c r="F251" i="6"/>
  <c r="F253" i="6"/>
  <c r="F254" i="6"/>
  <c r="F255" i="6"/>
  <c r="F256" i="6"/>
  <c r="F258" i="6"/>
  <c r="F259" i="6"/>
  <c r="F260" i="6"/>
  <c r="F261" i="6"/>
  <c r="F262" i="6"/>
  <c r="F264" i="6"/>
  <c r="F265" i="6"/>
  <c r="F266" i="6"/>
  <c r="F267" i="6"/>
  <c r="F269" i="6"/>
  <c r="F270" i="6"/>
  <c r="F271" i="6"/>
  <c r="F272" i="6"/>
  <c r="F274" i="6"/>
  <c r="F275" i="6"/>
  <c r="F276" i="6"/>
  <c r="F277" i="6"/>
  <c r="F279" i="6"/>
  <c r="F280" i="6"/>
  <c r="F281" i="6"/>
  <c r="F282" i="6"/>
  <c r="F284" i="6"/>
  <c r="F285" i="6"/>
  <c r="F286" i="6"/>
  <c r="F287" i="6"/>
  <c r="F289" i="6"/>
  <c r="F290" i="6"/>
  <c r="F291" i="6"/>
  <c r="F292" i="6"/>
  <c r="F294" i="6"/>
  <c r="F295" i="6"/>
  <c r="F296" i="6"/>
  <c r="F297" i="6"/>
  <c r="F299" i="6"/>
  <c r="F300" i="6"/>
  <c r="F301" i="6"/>
  <c r="F302" i="6"/>
  <c r="F304" i="6"/>
  <c r="F305" i="6"/>
  <c r="F306" i="6"/>
  <c r="F307" i="6"/>
  <c r="F309" i="6"/>
  <c r="F310" i="6"/>
  <c r="F311" i="6"/>
  <c r="F312" i="6"/>
  <c r="F313" i="6"/>
  <c r="F315" i="6"/>
  <c r="F316" i="6"/>
  <c r="F318" i="6"/>
  <c r="F319" i="6"/>
  <c r="F320" i="6"/>
  <c r="F321" i="6"/>
  <c r="F323" i="6"/>
  <c r="F324" i="6"/>
  <c r="F325" i="6"/>
  <c r="F326" i="6"/>
  <c r="F328" i="6"/>
  <c r="F329" i="6"/>
  <c r="F330" i="6"/>
  <c r="F331" i="6"/>
  <c r="F3" i="6"/>
  <c r="F16" i="5" l="1"/>
  <c r="F45" i="5"/>
  <c r="F44" i="5"/>
  <c r="F43" i="5"/>
  <c r="F42" i="5"/>
  <c r="F40" i="5"/>
  <c r="F39" i="5"/>
  <c r="F38" i="5"/>
  <c r="F37" i="5"/>
  <c r="F35" i="5"/>
  <c r="F34" i="5"/>
  <c r="F32" i="5"/>
  <c r="F31" i="5"/>
  <c r="F30" i="5"/>
  <c r="F29" i="5"/>
  <c r="F27" i="5"/>
  <c r="F26" i="5"/>
  <c r="F25" i="5"/>
  <c r="F24" i="5"/>
  <c r="F22" i="5"/>
  <c r="F21" i="5"/>
  <c r="F20" i="5"/>
  <c r="F19" i="5"/>
  <c r="F17" i="5"/>
  <c r="F15" i="5"/>
  <c r="F14" i="5"/>
  <c r="F13" i="5"/>
  <c r="F11" i="5"/>
  <c r="F10" i="5"/>
  <c r="F9" i="5"/>
  <c r="F8" i="5"/>
  <c r="F6" i="5"/>
  <c r="F5" i="5"/>
  <c r="F4" i="5"/>
  <c r="F3" i="5"/>
  <c r="F19" i="3"/>
  <c r="F20" i="3"/>
  <c r="F21" i="3"/>
  <c r="F23" i="3"/>
  <c r="F24" i="3"/>
  <c r="F25" i="3"/>
  <c r="F26" i="3"/>
  <c r="F28" i="3"/>
  <c r="F29" i="3"/>
  <c r="F30" i="3"/>
  <c r="F31" i="3"/>
  <c r="F33" i="3"/>
  <c r="F34" i="3"/>
  <c r="F35" i="3"/>
  <c r="F36" i="3"/>
  <c r="F38" i="3"/>
  <c r="F39" i="3"/>
  <c r="F40" i="3"/>
  <c r="F41" i="3"/>
  <c r="F43" i="3"/>
  <c r="F44" i="3"/>
  <c r="F45" i="3"/>
  <c r="F46" i="3"/>
  <c r="F48" i="3"/>
  <c r="F49" i="3"/>
  <c r="F50" i="3"/>
  <c r="F51" i="3"/>
  <c r="F53" i="3"/>
  <c r="F54" i="3"/>
  <c r="F55" i="3"/>
  <c r="F56" i="3"/>
  <c r="F57" i="3"/>
  <c r="F58" i="3"/>
  <c r="F60" i="3"/>
  <c r="F61" i="3"/>
  <c r="F62" i="3"/>
  <c r="F63" i="3"/>
  <c r="F65" i="3"/>
  <c r="F66" i="3"/>
  <c r="F67" i="3"/>
  <c r="F68" i="3"/>
  <c r="F69" i="3"/>
  <c r="F71" i="3"/>
  <c r="F72" i="3"/>
  <c r="F73" i="3"/>
  <c r="F74" i="3"/>
  <c r="F76" i="3"/>
  <c r="F77" i="3"/>
  <c r="F78" i="3"/>
  <c r="F79" i="3"/>
  <c r="F81" i="3"/>
  <c r="F82" i="3"/>
  <c r="F83" i="3"/>
  <c r="F84" i="3"/>
  <c r="F86" i="3"/>
  <c r="F87" i="3"/>
  <c r="F88" i="3"/>
  <c r="F89" i="3"/>
  <c r="F90" i="3"/>
  <c r="F92" i="3"/>
  <c r="F93" i="3"/>
  <c r="F94" i="3"/>
  <c r="F95" i="3"/>
  <c r="F97" i="3"/>
  <c r="F98" i="3"/>
  <c r="F99" i="3"/>
  <c r="F100" i="3"/>
  <c r="F102" i="3"/>
  <c r="F103" i="3"/>
  <c r="F104" i="3"/>
  <c r="F105" i="3"/>
  <c r="F106" i="3"/>
  <c r="F108" i="3"/>
  <c r="F109" i="3"/>
  <c r="F110" i="3"/>
  <c r="F111" i="3"/>
  <c r="F113" i="3"/>
  <c r="F114" i="3"/>
  <c r="F115" i="3"/>
  <c r="F116" i="3"/>
  <c r="F118" i="3"/>
  <c r="F119" i="3"/>
  <c r="F120" i="3"/>
  <c r="F121" i="3"/>
  <c r="F123" i="3"/>
  <c r="F124" i="3"/>
  <c r="F125" i="3"/>
  <c r="F126" i="3"/>
  <c r="F128" i="3"/>
  <c r="F129" i="3"/>
  <c r="F130" i="3"/>
  <c r="F131" i="3"/>
  <c r="F133" i="3"/>
  <c r="F134" i="3"/>
  <c r="F135" i="3"/>
  <c r="F136" i="3"/>
  <c r="F138" i="3"/>
  <c r="F139" i="3"/>
  <c r="F140" i="3"/>
  <c r="F141" i="3"/>
  <c r="F142" i="3"/>
  <c r="F144" i="3"/>
  <c r="F145" i="3"/>
  <c r="F146" i="3"/>
  <c r="F147" i="3"/>
  <c r="F149" i="3"/>
  <c r="F150" i="3"/>
  <c r="F152" i="3"/>
  <c r="F153" i="3"/>
  <c r="F154" i="3"/>
  <c r="F155" i="3"/>
  <c r="F157" i="3"/>
  <c r="F158" i="3"/>
  <c r="F159" i="3"/>
  <c r="F160" i="3"/>
  <c r="F161" i="3"/>
  <c r="F163" i="3"/>
  <c r="F164" i="3"/>
  <c r="F165" i="3"/>
  <c r="F166" i="3"/>
  <c r="F168" i="3"/>
  <c r="F169" i="3"/>
  <c r="F170" i="3"/>
  <c r="F171" i="3"/>
  <c r="F173" i="3"/>
  <c r="F174" i="3"/>
  <c r="F175" i="3"/>
  <c r="F176" i="3"/>
  <c r="F178" i="3"/>
  <c r="F179" i="3"/>
  <c r="F180" i="3"/>
  <c r="F181" i="3"/>
  <c r="F183" i="3"/>
  <c r="F184" i="3"/>
  <c r="F185" i="3"/>
  <c r="F186" i="3"/>
  <c r="F188" i="3"/>
  <c r="F189" i="3"/>
  <c r="F190" i="3"/>
  <c r="F191" i="3"/>
  <c r="F192" i="3"/>
  <c r="F194" i="3"/>
  <c r="F195" i="3"/>
  <c r="F196" i="3"/>
  <c r="F197" i="3"/>
  <c r="F199" i="3"/>
  <c r="F200" i="3"/>
  <c r="F201" i="3"/>
  <c r="F202" i="3"/>
  <c r="F203" i="3"/>
  <c r="F204" i="3"/>
  <c r="F205" i="3"/>
  <c r="F206" i="3"/>
  <c r="F208" i="3"/>
  <c r="F209" i="3"/>
  <c r="F210" i="3"/>
  <c r="F211" i="3"/>
  <c r="F213" i="3"/>
  <c r="F214" i="3"/>
  <c r="F215" i="3"/>
  <c r="F216" i="3"/>
  <c r="F218" i="3"/>
  <c r="F219" i="3"/>
  <c r="F221" i="3"/>
  <c r="F222" i="3"/>
  <c r="F223" i="3"/>
  <c r="F224" i="3"/>
  <c r="F226" i="3"/>
  <c r="F227" i="3"/>
  <c r="F228" i="3"/>
  <c r="F229" i="3"/>
  <c r="F231" i="3"/>
  <c r="F232" i="3"/>
  <c r="F233" i="3"/>
  <c r="F234" i="3"/>
  <c r="F236" i="3"/>
  <c r="F237" i="3"/>
  <c r="F238" i="3"/>
  <c r="F239" i="3"/>
  <c r="F241" i="3"/>
  <c r="F242" i="3"/>
  <c r="F243" i="3"/>
  <c r="F244" i="3"/>
  <c r="F246" i="3"/>
  <c r="F247" i="3"/>
  <c r="F248" i="3"/>
  <c r="F249" i="3"/>
  <c r="F251" i="3"/>
  <c r="F252" i="3"/>
  <c r="F253" i="3"/>
  <c r="F254" i="3"/>
  <c r="F256" i="3"/>
  <c r="F257" i="3"/>
  <c r="F258" i="3"/>
  <c r="F259" i="3"/>
  <c r="F261" i="3"/>
  <c r="F262" i="3"/>
  <c r="F263" i="3"/>
  <c r="F264" i="3"/>
  <c r="F266" i="3"/>
  <c r="F267" i="3"/>
  <c r="F268" i="3"/>
  <c r="F269" i="3"/>
  <c r="F271" i="3"/>
  <c r="F272" i="3"/>
  <c r="F273" i="3"/>
  <c r="F274" i="3"/>
  <c r="F276" i="3"/>
  <c r="F277" i="3"/>
  <c r="F278" i="3"/>
  <c r="F279" i="3"/>
  <c r="F281" i="3"/>
  <c r="F282" i="3"/>
  <c r="F283" i="3"/>
  <c r="F284" i="3"/>
  <c r="F285" i="3"/>
  <c r="F287" i="3"/>
  <c r="F288" i="3"/>
  <c r="F289" i="3"/>
  <c r="F290" i="3"/>
  <c r="F292" i="3"/>
  <c r="F293" i="3"/>
  <c r="F294" i="3"/>
  <c r="F295" i="3"/>
  <c r="F297" i="3"/>
  <c r="F298" i="3"/>
  <c r="F299" i="3"/>
  <c r="F300" i="3"/>
  <c r="F302" i="3"/>
  <c r="F303" i="3"/>
  <c r="F304" i="3"/>
  <c r="F305" i="3"/>
  <c r="F307" i="3"/>
  <c r="F308" i="3"/>
  <c r="F309" i="3"/>
  <c r="F310" i="3"/>
  <c r="F312" i="3"/>
  <c r="F313" i="3"/>
  <c r="F314" i="3"/>
  <c r="F315" i="3"/>
  <c r="F317" i="3"/>
  <c r="F318" i="3"/>
  <c r="F319" i="3"/>
  <c r="F320" i="3"/>
  <c r="F322" i="3"/>
  <c r="F323" i="3"/>
  <c r="F324" i="3"/>
  <c r="F325" i="3"/>
  <c r="F327" i="3"/>
  <c r="F328" i="3"/>
  <c r="F329" i="3"/>
  <c r="F330" i="3"/>
  <c r="F332" i="3"/>
  <c r="F333" i="3"/>
  <c r="F334" i="3"/>
  <c r="F335" i="3"/>
  <c r="F8" i="3"/>
  <c r="F9" i="3"/>
  <c r="F10" i="3"/>
  <c r="F11" i="3"/>
  <c r="F13" i="3"/>
  <c r="F14" i="3"/>
  <c r="F15" i="3"/>
  <c r="F16" i="3"/>
  <c r="F18" i="3"/>
  <c r="F6" i="3"/>
  <c r="F5" i="3"/>
  <c r="F4" i="3"/>
  <c r="F3" i="3"/>
</calcChain>
</file>

<file path=xl/sharedStrings.xml><?xml version="1.0" encoding="utf-8"?>
<sst xmlns="http://schemas.openxmlformats.org/spreadsheetml/2006/main" count="7428" uniqueCount="2220">
  <si>
    <t>a</t>
  </si>
  <si>
    <t>b</t>
  </si>
  <si>
    <t>c</t>
  </si>
  <si>
    <t>d</t>
  </si>
  <si>
    <t>Amazon CloudWatch</t>
  </si>
  <si>
    <t>AWS Config</t>
  </si>
  <si>
    <t>e</t>
  </si>
  <si>
    <t>F</t>
  </si>
  <si>
    <t>T</t>
  </si>
  <si>
    <t>Reserved Instances</t>
  </si>
  <si>
    <t>EBS Snapshots</t>
  </si>
  <si>
    <t>Developer</t>
  </si>
  <si>
    <t>Business</t>
  </si>
  <si>
    <t>Enterprise</t>
  </si>
  <si>
    <t>AWS CloudTrail</t>
  </si>
  <si>
    <t>Aurora</t>
  </si>
  <si>
    <t>DynamoDB</t>
  </si>
  <si>
    <t>IAM Users</t>
  </si>
  <si>
    <t>IAM Roles</t>
  </si>
  <si>
    <t>IAM Groups</t>
  </si>
  <si>
    <t>AWS Organizations</t>
  </si>
  <si>
    <t>Cost Explorer</t>
  </si>
  <si>
    <t>Amazon Config</t>
  </si>
  <si>
    <t>Pay as you go</t>
  </si>
  <si>
    <t>Question</t>
  </si>
  <si>
    <t>Correct?</t>
  </si>
  <si>
    <t>Answer</t>
  </si>
  <si>
    <t>Spot</t>
  </si>
  <si>
    <t>Security</t>
  </si>
  <si>
    <t>Cost Optimization</t>
  </si>
  <si>
    <t>Performance</t>
  </si>
  <si>
    <t>Basic</t>
  </si>
  <si>
    <t>EC2</t>
  </si>
  <si>
    <t>S3</t>
  </si>
  <si>
    <t>Glacier</t>
  </si>
  <si>
    <t>CloudFront</t>
  </si>
  <si>
    <t>CloudWatch</t>
  </si>
  <si>
    <t>f</t>
  </si>
  <si>
    <t>PostgreSQL</t>
  </si>
  <si>
    <t>MySQL</t>
  </si>
  <si>
    <t>DB2</t>
  </si>
  <si>
    <t>AWS OpsWorks</t>
  </si>
  <si>
    <t>Elastic Beanstalk</t>
  </si>
  <si>
    <t>Auto Scaling</t>
  </si>
  <si>
    <t>For AWS Enterprise customers, any questions about billing and overall AWS account can be directed to which AWS support personnel?</t>
  </si>
  <si>
    <t>AWS Concierge</t>
  </si>
  <si>
    <t>AWS Technical Account Manager</t>
  </si>
  <si>
    <t>AWS Billing &amp; Accounts</t>
  </si>
  <si>
    <t>AWS Support</t>
  </si>
  <si>
    <t>For AWS Enterprise Accounts, questions related to billing can be directed to the AWS Concierge</t>
  </si>
  <si>
    <t xml:space="preserve">How does Auto Scaling balance capacity?
For AWS Enterprise Accounts, questions related to billing can be directed to the AWS Concierge
For AWS Enterprise Accounts, questions related to billing can be directed to the AWS Concierge
For AWS Enterprise Accounts, questions related to billing can be directed to the AWS Concierge
For AWS Enterprise Accounts, questions related to billing can be directed to the AWS Concierge
</t>
  </si>
  <si>
    <t>Auto Scaling places all EC2 instances in a single zone when you configure multiple zones in your Auto Scaling group settings, unless you specify the percentage of EC2 instances to deploy in each zone</t>
  </si>
  <si>
    <t>Auto Scaling automatically balances EC2 instances across zones when you configure multiple zones in your Auto Scaling group settings</t>
  </si>
  <si>
    <t>Auto Scaling automatically places 60% EC2 of instances in one zone, then 30% in the second zone, then 20% in the third zone and then 10% in the fourth zone in that order. Auto Scaling group settings</t>
  </si>
  <si>
    <t>Auto Scaling places most EC2 instances in a default zone when you configure multiple zones in your Auto Scaling group settings, and you have to specify how many instances to launch in each zone as part of your launch configuration</t>
  </si>
  <si>
    <t>Auto Scaling automatically balances EC2 instances across zones when you configure multiple zones in your Auto Scaling group settings.</t>
  </si>
  <si>
    <t>EC2S3Connector</t>
  </si>
  <si>
    <t xml:space="preserve">How can you obtain a discount on your RDS database instances?
</t>
  </si>
  <si>
    <t>Purchase a LightSail Database Instance</t>
  </si>
  <si>
    <t>Purchase a Redundant Database Instance</t>
  </si>
  <si>
    <t>Purchase a Reserved Database Instance</t>
  </si>
  <si>
    <t>Purchase a Spot Database Instance</t>
  </si>
  <si>
    <t xml:space="preserve">If NACLs offer the ability to block and deny traffic, why do we need security groups?
</t>
  </si>
  <si>
    <t>Because Security Groups protect instances within a Subnet</t>
  </si>
  <si>
    <t>Because Security Groups prevent traffic from the IGW getting to your instances</t>
  </si>
  <si>
    <t>Because Security Groups are more powerful than NACLS</t>
  </si>
  <si>
    <t>Security Groups control traffic flow at the instance level whereas NACLs control traffic at the subnet level. Security Groups can thus be used to enable traffic flow between different types of instances within a subnet itself which NACLs cannot control. NACL and Security Groups thus work in collaboration with each other to offer a more complete security setup.</t>
  </si>
  <si>
    <t>Elastic IP</t>
  </si>
  <si>
    <t>Static IP</t>
  </si>
  <si>
    <t>Public IP</t>
  </si>
  <si>
    <t>Private IP</t>
  </si>
  <si>
    <t>An Elastic IP address is a static IPv4 address designed for dynamic cloud computing. An Elastic IP address is associated with your AWS account. You can assign it to any EC2 Instance in a public subnet. Note that the EIP address will not change when you reboot the instance.</t>
  </si>
  <si>
    <t>Dedicated Hosts</t>
  </si>
  <si>
    <t>Spot Instance</t>
  </si>
  <si>
    <t>On-Demand Instances</t>
  </si>
  <si>
    <t>Dedicated Hosts can help reduce your costs as you can utilize your existing server licenses. Ref: https://iaasacademy.com/aws-certified-solutions-architect-associate-exam/amazon-elastic-compute-cloud-ec2-exam-tips/</t>
  </si>
  <si>
    <t>Paying for only the services you use</t>
  </si>
  <si>
    <t>You can choose your hardware vendor</t>
  </si>
  <si>
    <t>Amazon financially backed SLA</t>
  </si>
  <si>
    <t>Physical access to Amazon Datacentre in your region</t>
  </si>
  <si>
    <t>h</t>
  </si>
  <si>
    <t>One of the core benefits of cloud computing is the ability to migrate from a CAPEX mode of investment in IT to an OPEX mode. You only pay for the services you use, on a pay as you go model</t>
  </si>
  <si>
    <t>Elastic Block Storage (EBS)</t>
  </si>
  <si>
    <t>Amazon S3 IA</t>
  </si>
  <si>
    <t>Amazon S3</t>
  </si>
  <si>
    <t>Amazon Glacier</t>
  </si>
  <si>
    <t xml:space="preserve">Which of the following statements are true? (Choose 2 answers)
</t>
  </si>
  <si>
    <t>Security Groups by default allow all inbound traffic</t>
  </si>
  <si>
    <t>Default NACL in a VPC allows all inbound traffic</t>
  </si>
  <si>
    <t>Security Groups by default block all inbound traffic</t>
  </si>
  <si>
    <t>Default NACL in a VPC blocks all inbound traffic</t>
  </si>
  <si>
    <t>In a default configuration, Security Groups allow only outbound traffic and block all incoming traffic. You need to enable inbound traffic specifying the protocol, port and source. In a VPC the default NACL is set to allow all inbound and outbound traffic. If you deploy a custom NACL, then all inbound and outbound traffic is blocked</t>
  </si>
  <si>
    <t>Amazon Glacier is used to store data as archives. It allows you to archive content reliably and move it when needed.</t>
  </si>
  <si>
    <t>Oracle</t>
  </si>
  <si>
    <t>FoxPro</t>
  </si>
  <si>
    <t>Microsoft SQL</t>
  </si>
  <si>
    <t>Amazon RDS has 6 engines. These are • MySQL • Aurora • MS SQL • Oracle • ProgreSQL • MariaDB</t>
  </si>
  <si>
    <t>SLS</t>
  </si>
  <si>
    <t>EFS</t>
  </si>
  <si>
    <t>EBS</t>
  </si>
  <si>
    <t>Amazon Elastic File System (Amazon EFS) provides simple, scalable, elastic file storage for use with AWS Cloud services and on-premises resources. It is easy to use and offers a simple interface that allows you to create and configure file systems quickly and easily. Amazon EFS is built to elastically scale on demand without disrupting applications, growing and shrinking automatically as you add and remove files, so your applications have the storage they need, when they need it. Multiple Amazon EC2 instances and on-premises servers can simultaneously access an Amazon EFS file system, so applications that scale beyond a single instance can access a file system.</t>
  </si>
  <si>
    <t>Redshift</t>
  </si>
  <si>
    <t>Amazon Aurora is compatible with MySQL and PostgreSQL. It is not compatible with Microsoft SQL which does not enable you to create read replicas. Redshift is a data warehouse solution and DynamoDB is a NoSQL solution which is also not directly compatible with Aurora</t>
  </si>
  <si>
    <t>Public</t>
  </si>
  <si>
    <t>Private</t>
  </si>
  <si>
    <t>Mesh</t>
  </si>
  <si>
    <t>Hybrid</t>
  </si>
  <si>
    <t>A Hybrid cloud deployment is where you have a mixture of on-premises infrastructure and public hosted infrastructure</t>
  </si>
  <si>
    <t xml:space="preserve">What is the main benefit of designing application components that are decoupled?
</t>
  </si>
  <si>
    <t>Tightly integrate the application</t>
  </si>
  <si>
    <t>Cost reduction</t>
  </si>
  <si>
    <t>Reduce dependencies between components of an application</t>
  </si>
  <si>
    <t>Decoupling components of an application can help ensure that a failure of one component does not impact the entire application process</t>
  </si>
  <si>
    <t xml:space="preserve">Which AWS service can be used to generate historical configuration change records for your AWS resources which can then be used for auditing your workloads on the AWS platform?
</t>
  </si>
  <si>
    <t>CloudTrail</t>
  </si>
  <si>
    <t>Being able to deploy your application that offers additional discounts</t>
  </si>
  <si>
    <t>AWS Config is a managed service that provides AWS resource inventory information and enables you to record configuration change history to enable security and governance requirements. With AWS Config, you can discover both existing and deleted resources at any point in time.</t>
  </si>
  <si>
    <t>Being able to deploy your application that offers the lowest network latency</t>
  </si>
  <si>
    <t>Being able to deploy your application that enables you to travel overseas to visit the data center for physical server deployments</t>
  </si>
  <si>
    <t xml:space="preserve">Being able to deploy your application that enables you to achieve data sovereignty </t>
  </si>
  <si>
    <t xml:space="preserve">Being able to deploy your application that offers free ticket to Amazon Re-Invent </t>
  </si>
  <si>
    <t>Regions enable you to place your applications and workloads in geographical locations that are closer to your customers and/or end users. In addition, Amazon does not replicate data across regional borders unless you choose to design such replication for your application. This ensures that the region in which you place your data in stays there and thus enables you to meet various compliance and regulatory requirements.</t>
  </si>
  <si>
    <t>Configure EFS</t>
  </si>
  <si>
    <t>Configure Read Replicas</t>
  </si>
  <si>
    <t>Configure Multi-AZ</t>
  </si>
  <si>
    <t>Configure EC2 Cluster</t>
  </si>
  <si>
    <t>Multi-AZ offers disaster recovery such that if the primary DB Instance fails, you can start using a standby instance by promoting it to be the primary.</t>
  </si>
  <si>
    <t>Enable the Root Account for Biometric Authentication</t>
  </si>
  <si>
    <t>Delete the Root Account after creating an IAM User Account and giving it Administrator Access</t>
  </si>
  <si>
    <t>Disable the Root Account</t>
  </si>
  <si>
    <t>Enable Multi-Factor Authentication</t>
  </si>
  <si>
    <t>You can add an additional layer of security by enabling Multi-Factor Authentication. You can then use a hardware MFS device like an RSA Token or a virtual MFS device like Google Authenticator on your smart phone to generate One-Time passwords/Pin which you need to provide in additional to your -name- (email address) and password to authenticate to the platform.</t>
  </si>
  <si>
    <t>Object Policies</t>
  </si>
  <si>
    <t>NFS Permissions</t>
  </si>
  <si>
    <t>NTFS</t>
  </si>
  <si>
    <t>Access Control Lists</t>
  </si>
  <si>
    <t>Bucket Policies</t>
  </si>
  <si>
    <t>You can use the Bucket Policies to grant access at the bucket level and Access Control Lists at the file level.</t>
  </si>
  <si>
    <t>Reserved</t>
  </si>
  <si>
    <t>On-Demand</t>
  </si>
  <si>
    <t>Spark</t>
  </si>
  <si>
    <t>Spot Instances can help when application is stateless and not affected by interruptions. Ref: https://iaasacademy.com/aws-certified-solutions-architect-associate-exam/amazon-elastic-compute-cloud-ec2-exam-tips/</t>
  </si>
  <si>
    <t xml:space="preserve"> What is a policy in Amazon IAM?
</t>
  </si>
  <si>
    <t>Policies enable you to assign permissions to users, groups and roles</t>
  </si>
  <si>
    <t>Policies are designed to enable you to define how many hours you run EC2 Instances</t>
  </si>
  <si>
    <t>Policies define the ports you can open on Security Groups and Network Access Control Lists</t>
  </si>
  <si>
    <t>Policies define the type of services you can run on Amazon AWS</t>
  </si>
  <si>
    <t>Trade capital expense for variable expense</t>
  </si>
  <si>
    <t>Trade variable expense for capital expense</t>
  </si>
  <si>
    <t>Go Global in 72 hours</t>
  </si>
  <si>
    <t>Go Global in minutes</t>
  </si>
  <si>
    <t>You can swap CAPEX for OPEX and go global in minutes</t>
  </si>
  <si>
    <t>Unlimited</t>
  </si>
  <si>
    <t xml:space="preserve">You can have upto 20 open invitations — Accepted invitations don't count against this limit. As soon as one invitation is accepted, you can send another invitation that same day.
</t>
  </si>
  <si>
    <t xml:space="preserve">Which of the following requires a custom CloudWatch metrics to monitor?
</t>
  </si>
  <si>
    <t>Network</t>
  </si>
  <si>
    <t>Memory</t>
  </si>
  <si>
    <t>CPU</t>
  </si>
  <si>
    <t>Disk</t>
  </si>
  <si>
    <t>Amazon CloudWatch works on the Hypervisor level and does not monitor memory utilization. CloudWatch will monitor CPU, Disk, Networking and Status</t>
  </si>
  <si>
    <t>Amazon Securicor</t>
  </si>
  <si>
    <t>Amazon Rekognition</t>
  </si>
  <si>
    <t>With Amazon Rekognition you can detect, analyze, and compare text, scenes and faces for a wide variety of user verification and identify content that should be removed.</t>
  </si>
  <si>
    <t xml:space="preserve">Which of the following represents Alarm States for CloudWatch? (Choose 3 answers)
</t>
  </si>
  <si>
    <t>Alarm</t>
  </si>
  <si>
    <t>Terminated</t>
  </si>
  <si>
    <t>Insufficient_Data</t>
  </si>
  <si>
    <t>Failed</t>
  </si>
  <si>
    <t>OK</t>
  </si>
  <si>
    <t>An alarm can be in the following three states: • OK • Alarm • Insufficient_Data</t>
  </si>
  <si>
    <t>Lifecycle Management</t>
  </si>
  <si>
    <t>S3 Migration</t>
  </si>
  <si>
    <t>Versioning</t>
  </si>
  <si>
    <t>Storage Transition</t>
  </si>
  <si>
    <t>You can use Lifecycle Management to automatically move objects from one storage class to another for better management of costs</t>
  </si>
  <si>
    <t xml:space="preserve">You can attach a single EBS volume to multiple EC2 Instances (True or false)
</t>
  </si>
  <si>
    <t>Flase</t>
  </si>
  <si>
    <t>You can only attach an EBS Volume to one instance at a time</t>
  </si>
  <si>
    <t xml:space="preserve">In most cases what is the minimum number of Availability Zones per region?
</t>
  </si>
  <si>
    <t>At a minimum, each region will have 2 or more availability zones</t>
  </si>
  <si>
    <t>Index.html</t>
  </si>
  <si>
    <t>Static.php</t>
  </si>
  <si>
    <t>Index.php</t>
  </si>
  <si>
    <t>Index.http</t>
  </si>
  <si>
    <t>Error.html</t>
  </si>
  <si>
    <t>The minimum files you need to configure a bucket for static website are index.html and error.html</t>
  </si>
  <si>
    <t xml:space="preserve">Which AWS services can you use to migrate an existing database to AWS?
</t>
  </si>
  <si>
    <t>DOS</t>
  </si>
  <si>
    <t>DLS</t>
  </si>
  <si>
    <t>DDS</t>
  </si>
  <si>
    <t>DMS</t>
  </si>
  <si>
    <t>Database Migration Service (DMS) can help you migrate an existing database to AWS</t>
  </si>
  <si>
    <t xml:space="preserve">What is an Amazon Region?
</t>
  </si>
  <si>
    <t>S3 Buckets</t>
  </si>
  <si>
    <t>A Geographical region comprising Amazon Availability Zones</t>
  </si>
  <si>
    <t>A Collection of EC2 Servers in a datacentre</t>
  </si>
  <si>
    <t>An area in a datacentre used to store storage units</t>
  </si>
  <si>
    <t>An Amazon Region is a geographical location comprising Availability Zones, within which exists one or more data center facilities. Ref: https://iaasacademy.com/aws-certified-solutions-architect-associate-exam/aws-global-infrastructure/</t>
  </si>
  <si>
    <t xml:space="preserve">What are Convertible Reserved Instances (RI)?
</t>
  </si>
  <si>
    <t>The ability to convert a Reserved Instance (RI) into a spot instance</t>
  </si>
  <si>
    <t>The ability to change a Reserved Instance with different configuration, operating system and tenancy as long as the target instance is of equal or lower value</t>
  </si>
  <si>
    <t>The ability to convert a Reserved Instance in Lambda functions to move to a serverless environment</t>
  </si>
  <si>
    <t>The ability to change a Reserved Instance with different configuration, operating system and tenancy as long as the target instance is of equal or higher value</t>
  </si>
  <si>
    <t>You can exchange one or more Convertible Reserved Instances for another Convertible Reserved Instance with a different configuration, including instance family, operating system, and tenancy. There are no limits to how many times you perform an exchange, as long as the target Convertible Reserved Instance is of an equal or higher value than the Convertible Reserved Instances that you are exchanging.</t>
  </si>
  <si>
    <t>Amazon S3 Standard</t>
  </si>
  <si>
    <t>Glacier is ideal for this scenario and also most cost-effective.</t>
  </si>
  <si>
    <t>VPC with Public and Private Subnets and AWS Managed VPN Access</t>
  </si>
  <si>
    <t>VPC with a Single Public Subnet</t>
  </si>
  <si>
    <t>VPC with Public and Private Subnets (NAT)</t>
  </si>
  <si>
    <t>VPC with a Private Subnet Only and AWS Managed VPN Access</t>
  </si>
  <si>
    <t>In this configuration, two subnets are created, namely the public and private subnets. Web servers in the public subnet can communicate directly with the Internet and application servers placed in the Private Subnet can communicate directly with back-end databases located on your corporate network. A site-to-site IPSEC VPN tunnel creates a secure connection between your corporate network and the Private Subnet of the VPC. Ref: https://iaasacademy.com/aws-certified-solutions-architect-associate-exam/amazon-vpc-an-introduction/</t>
  </si>
  <si>
    <t>7 Year</t>
  </si>
  <si>
    <t>3 Year</t>
  </si>
  <si>
    <t>1 Year</t>
  </si>
  <si>
    <t>2 Year</t>
  </si>
  <si>
    <t>5 Year</t>
  </si>
  <si>
    <t>You can sign up for 1 or 3-year contract for a reserved instance capacity. Ref: https://iaasacademy.com/aws-certified-solutions-architect-associate-exam/amazon-elastic-compute-cloud-ec2-exam-tips/</t>
  </si>
  <si>
    <t>Setting up Tags</t>
  </si>
  <si>
    <t>Associating the EC2 Instance with a specific credit card</t>
  </si>
  <si>
    <t>Allocating EC2 to a specific AWS Account</t>
  </si>
  <si>
    <t>Tags enable you to identify your EC2 Instances using Key Value Name Pairs. You can create multiple Tags such as Name of Server, Department and the Employee who launched it.</t>
  </si>
  <si>
    <t>Bandwidth Optimization</t>
  </si>
  <si>
    <t>Disk Load</t>
  </si>
  <si>
    <t>Failover Configuration</t>
  </si>
  <si>
    <t>Fault Tolerance</t>
  </si>
  <si>
    <t>Service Limits</t>
  </si>
  <si>
    <t>g</t>
  </si>
  <si>
    <t>The five categories are cost optimization, security, performance, fault tolerance and service limits.</t>
  </si>
  <si>
    <t xml:space="preserve">Where are Amazon RDS Automated Backups Stored?
</t>
  </si>
  <si>
    <t>Amazon RDS Automated Backups are stored in S3.</t>
  </si>
  <si>
    <t xml:space="preserve">How many Internet Gateways can you have per VPC?
</t>
  </si>
  <si>
    <t>You can only have one Internet Gateway per VPC.</t>
  </si>
  <si>
    <t xml:space="preserve">You can configure a Network Elastic Load Balancers with a Static Elastic IP Address. (True or false)
</t>
  </si>
  <si>
    <t>You can now configure a new type of load balancer called a Network Load Balancer which allows you to assign Static Elastic IP Address per subnet</t>
  </si>
  <si>
    <t>24 hours</t>
  </si>
  <si>
    <t>3 to 5 hours</t>
  </si>
  <si>
    <t>5 minutes</t>
  </si>
  <si>
    <t>90 seconds</t>
  </si>
  <si>
    <t>It takes 3 to 5 hours to prepare a Glacier archive to be available for download.</t>
  </si>
  <si>
    <t xml:space="preserve">Which of the following are the two key problems associated with using Access Key ID and Secret Access Keys when trying to grant access to AWS services? (Choose 2 answers)
</t>
  </si>
  <si>
    <t>Keys might get leaked and fall into the wrong hands</t>
  </si>
  <si>
    <t>Rotation of keys</t>
  </si>
  <si>
    <t>Remembering the key values</t>
  </si>
  <si>
    <t>Keys only give you access for up to 24 hours</t>
  </si>
  <si>
    <t>Access Keys ID and Secret Access Keys could get leaked and compromised. In addition, if you need to change the keys, you would have to update them where they are stored to grant access to AWS services which means that rotating the keys is also a concern.</t>
  </si>
  <si>
    <t>Create IP Address Restrictions</t>
  </si>
  <si>
    <t>Create Permissions</t>
  </si>
  <si>
    <t>Create Policies</t>
  </si>
  <si>
    <t>Create IAM Roles</t>
  </si>
  <si>
    <t>You can configure Policies in AWS Organizations to ensure only certain actions can be performed for certain AWS accounts in OU’s.</t>
  </si>
  <si>
    <t>AWS Resource Pool</t>
  </si>
  <si>
    <t>AWS Account Management</t>
  </si>
  <si>
    <t>AWS Groups</t>
  </si>
  <si>
    <t>AWS Organizations can help you consolidate multiple AWS Accounts so that you can centrally manage them.</t>
  </si>
  <si>
    <t xml:space="preserve">Which Server-Side Encryption Technology offers additional auditing features?
</t>
  </si>
  <si>
    <t>Server-Side Encryption with Amazon S3-Managed Keys (SSE-S3)</t>
  </si>
  <si>
    <t>Client-Side Encryption</t>
  </si>
  <si>
    <t>Server-Side Encryption with Customer-Provided Keys – SSE-C</t>
  </si>
  <si>
    <t>Server-Side Encryption using AWS Key Management Service, Managed Keys – SSE-KMS</t>
  </si>
  <si>
    <t>Server-Side Encryption using AWS Key Management Service, Managed Keys – SSE-KMS. This encryption gives you separate permissions for use of an envelope key, which is a key that protects the data’s encryption key. You also get an audit trail to show when your keys were used and who used the keys.</t>
  </si>
  <si>
    <t xml:space="preserve">With AWS Relational Database Service (RDS), you are responsible for which of the following?
</t>
  </si>
  <si>
    <t>Database patching and software updates</t>
  </si>
  <si>
    <t>Storing Backups on reliable media</t>
  </si>
  <si>
    <t>Optimization of applications using RDS</t>
  </si>
  <si>
    <t>Scaling</t>
  </si>
  <si>
    <t>Amazon is responsible for ensuring database infrastructure, patching of DB instances and storing data. As a customer, you are responsible for how your applications interface with the RDS endpoints and read/write to the database. Ref: https://iaasacademy.c+H235om/aws-certified-solutions-architect-associate-exam/aws-shared-security-mode-and-gdpr-amazon-web-services/</t>
  </si>
  <si>
    <t>Request Amazon Support to grant you the necessary access rights to set up IAM region-wise</t>
  </si>
  <si>
    <t>He does not have IAM Admin permissions</t>
  </si>
  <si>
    <t>You need to do this while logged in as the Root Account</t>
  </si>
  <si>
    <t>IAM is globally based hence you cannot select a specific region.  Its effects are global across your AWS Account</t>
  </si>
  <si>
    <t>IAM is global and not on region-based. All settings are applied across all regions in your AWS Account.</t>
  </si>
  <si>
    <t>Use the Key Pair to decrypt the password</t>
  </si>
  <si>
    <t>The password is sent to you automatically via email</t>
  </si>
  <si>
    <t>Raise a support request with Amazon to obtain the password</t>
  </si>
  <si>
    <t>The password is sent to you via SMS text message to your registered mobile</t>
  </si>
  <si>
    <t>When you launch a server (Windows or Linux); you must configure it to be associated with a Key Pair. This is an encrypted key where you will be able to use your private key to login to Linux based servers or decrypt the Windows Administrator password using the AWS Management Console.</t>
  </si>
  <si>
    <t xml:space="preserve">What is the maximum size of a single Amazon Glacier Archive?
</t>
  </si>
  <si>
    <t>16TB</t>
  </si>
  <si>
    <t>250GB</t>
  </si>
  <si>
    <t>1TB</t>
  </si>
  <si>
    <t>40TB</t>
  </si>
  <si>
    <t>A single archive can be as large as 40 terabytes. You can store an unlimited number of archives and an unlimited amount of data in Amazon Glacier.</t>
  </si>
  <si>
    <t>Lightsail</t>
  </si>
  <si>
    <t>VPS</t>
  </si>
  <si>
    <t>Amazon Lightsail is the easiest way to get started with AWS if you just need virtual private servers. Lightsail includes everything you need to launch your project quickly – a virtual machine, SSD-based storage, data transfer, DNS management, and a static IP – for a low, predictable price. After you create your instance, you can easily connect to it. You can manage your instances using the Lightsail console, Lightsail API, or Lightsail command line interface (CLI).</t>
  </si>
  <si>
    <t xml:space="preserve">How many Elastic IP Addresses can you have per region by default?
</t>
  </si>
  <si>
    <t>You can get 5 EIP’s per region by default. You can raise a support request to get additional Elastic IP Addresses.</t>
  </si>
  <si>
    <t>AWS Athena</t>
  </si>
  <si>
    <t>AWS S3 Analyzer</t>
  </si>
  <si>
    <t>AWS QueryBox</t>
  </si>
  <si>
    <t>AWS S3 SQL</t>
  </si>
  <si>
    <t>Athena helps you analyze unstructured, semi-structured, and structured data stored in Amazon S3. Examples include CSV, JSON, or columnar data formats such as Apache Parquet and Apache ORC. Ref: https://docs.aws.amazon.com/athena/latest/ug/when-should-i-use-ate.html</t>
  </si>
  <si>
    <t xml:space="preserve">Which support plan gives you the ability to raise a support request to query your Amazon bill?
</t>
  </si>
  <si>
    <t>All of them</t>
  </si>
  <si>
    <t>Billing queries is available for all support plans</t>
  </si>
  <si>
    <t>Use Direct Connect</t>
  </si>
  <si>
    <t>Use Amazon Storage Gateway</t>
  </si>
  <si>
    <t>Use Amazon Snowball</t>
  </si>
  <si>
    <t>Use Amazon Speedpost</t>
  </si>
  <si>
    <t>Snowball offers a petabyte-scale data transport solution that uses devices designed to be secure to transfer large amounts of data into and out of the AWS Cloud. This bypasses the Internet and offers a reliable method to get large amounts of data uploaded into the cloud. There are no such services as Amazon Speedpost. Also, Amazon Direct Connect offers high speed network connectivity, but given the time constraints, it is unlikely that a Direct Connect services can be provisioned to meet the deadline. Amazon Storage Gateway offers a way to upload data into the cloud either via the Internet or over a VPN tunnel but is still restricted to the bandwidth available over the network.</t>
  </si>
  <si>
    <t>Bootstrapping</t>
  </si>
  <si>
    <t>BYOL</t>
  </si>
  <si>
    <t>Golden Images</t>
  </si>
  <si>
    <t>BYOD</t>
  </si>
  <si>
    <t>Bootstrapping enables you to deploy servers without having to configure them with fixed settings. Using Golden Images enables you to design auto scaling strategies</t>
  </si>
  <si>
    <t xml:space="preserve">Which Amazon Database platform is most suited for Data Warehousing solutions
</t>
  </si>
  <si>
    <t>Amazon Redshift is specifically designed for Data Warehousing and Business Intelligence (BI) applications.</t>
  </si>
  <si>
    <t>1 Hour</t>
  </si>
  <si>
    <t>30 minutes</t>
  </si>
  <si>
    <t>15 minutes</t>
  </si>
  <si>
    <t>You get a 15-minute response time for critical business system failure under the Enterprise Support Plan</t>
  </si>
  <si>
    <t>CloudWatch with Advanced monitoring</t>
  </si>
  <si>
    <t>CloudWatch with detailed monitoring</t>
  </si>
  <si>
    <t>CloudSpy</t>
  </si>
  <si>
    <t>CloudWatch comes with Basic and Detailed Monitoring options</t>
  </si>
  <si>
    <t>You run an IT blog website that has millions of visitors throughout the month.  You wish to improve the performance of the website which has been distributed across several regions with multiple EC2 instances running behind Elastic Load Balancers.
You wish to configure your Route53 routing policies such that users’ requests from Europe are redirected to the European EC2 instances and users’ requests from the US are redirected to the US EC2 instances.
What type of routing policy can help you achieve this objective?</t>
  </si>
  <si>
    <t>Edge Location Routing</t>
  </si>
  <si>
    <t>Weighted Routing</t>
  </si>
  <si>
    <t>Regional Routing</t>
  </si>
  <si>
    <t>Geolocation Routing</t>
  </si>
  <si>
    <t>Geolocation enables you to direct traffic based on the user's location.</t>
  </si>
  <si>
    <t>AWS Service Catalog</t>
  </si>
  <si>
    <t>AWS Portfolio Manager</t>
  </si>
  <si>
    <t>AWS Service Manager</t>
  </si>
  <si>
    <t>With AWS Service Catalog, you can create a customized portfolio for each type of user in your organization and selectively grant access to the appropriate portfolio. When you add a new version of a product to a portfolio, that version is automatically available to all current users</t>
  </si>
  <si>
    <t>AWS Managed Service</t>
  </si>
  <si>
    <t>AWS CAB Meeting</t>
  </si>
  <si>
    <t>AWS ECAB Meeting</t>
  </si>
  <si>
    <t>AWS Managed Services provides simple and efficient means to make controlled changes to your infrastructure. For example, if you want to deploy an EC2 stack, or change your RDS database configuration settings, AWS Managed Services enables you to quickly and easily make the request through a dedicated self-service console.</t>
  </si>
  <si>
    <t>It’s Sunday morning and you have been called into an urgent meeting at the office.  Management is upset because a few hours ago, all instances running on the company’s AWS environment went offline.  One of your colleagues got an email stating that the Xen Hypervisor running in the Availability zone where you host various applications had failed.
Management would like to know how you could have prevented the failure of the Xen Hypervisors.</t>
  </si>
  <si>
    <t>By enabling a failover of the hypervisor hosts to another physical server</t>
  </si>
  <si>
    <t>This is amazon’s responsibility as part of the shared responsibility model</t>
  </si>
  <si>
    <t>By initiating a live migration of the Xen hypervisor</t>
  </si>
  <si>
    <t>By migrating to Amazon virtual server using VM import export</t>
  </si>
  <si>
    <t>As part of the Shared Responsibility model, Amazon is responsible for the underlying hosts running Xen Hypervisors. Ref: https://iaasacademy.com/aws-certified-solutions-architect-associate-exam/aws-shared-security-mode-and-gdpr-amazon-web-services/</t>
  </si>
  <si>
    <t>Auto Scaling enables you to scale out and in based on demand and workload. You can automatically increase your fleet size when the load on your servers reach a particular level and likewise terminate instances when the load reduces.</t>
  </si>
  <si>
    <t>You need to grant your EC2 Instances the ability to upload and download images from an S3 bucket.  Which IAM feature enables you to grant your EC2 instances the ability to access Amazon S3?</t>
  </si>
  <si>
    <t>IAM Roles enable you to grant access to AWS services to trusted entities and to enable your EC2 instance to assume a role that has the permissions required to access Amazon S3. Your applications running on the EC2 instance can then assume the role and upload and download the images from S3. Roles grant temporary credentials which are managed by AWS, and you do not need to worry about rotating access keys or worrying about them getting leaked out to unauthorized entities.</t>
  </si>
  <si>
    <t>You can benefit from a discount by committing to purchase a Reserved DB Instance. There are no spot instances with RDS and there is no such thing as LightSail Instance for DBs</t>
  </si>
  <si>
    <t>You wish to deploy EC2 Instances in the Amazon AWS Cloud and utilize your own Microsoft Volume Licenses.  Which EC2 pricing option allows you to use your existing server licenses?</t>
  </si>
  <si>
    <t>Which AWS service enables you to assign a static public IP Address that will not change if the EC2 Instance reboots?</t>
  </si>
  <si>
    <t>Which of the following is a core benefit of using AWS Cloud Computing instead of building, configuring and deploying your own physical infrastructure?</t>
  </si>
  <si>
    <t>Which AWS Service stores objects as a collection in an archive file format like a tar or zip file?</t>
  </si>
  <si>
    <t>Which AWS Storage service enables you to grant the ability for EC2 instances and on-premise servers to access a shared file system and share a common data source, similar to a NAS storage system?</t>
  </si>
  <si>
    <t>Which of the following database read replicas are compatible with Amazon Aurora? (Choose 2 answers)</t>
  </si>
  <si>
    <t>Your business has a requirement to expand their IT Infrastructure in a very short space of time, and you have decided to migrate some of their web servers to the Amazon AWS Cloud.  You will continue to host your sensitive file servers on your datacentre.  Which type of cloud computing deployment will suit your business needs?</t>
  </si>
  <si>
    <t>Which of the following are the primary reasons for choosing a specific region when deciding where to deploy your application? (Choose 2 answers)</t>
  </si>
  <si>
    <t>You are planning a MySQL database deployment which will host all customers profile data.  Customers can update their profiles as and when required.  You wish to implement disaster recovery such that if the primary database fails, you have a standby database to failover to. How should you configure your RDS database?</t>
  </si>
  <si>
    <t>Which of the following is a recommended best practice to add an additional layer of security for your Amazon AWS Root Account?</t>
  </si>
  <si>
    <t>Which two options are available to grant permissions in Amazon S3, both at the bucket level and individual file level?  (Choose 2 answers)</t>
  </si>
  <si>
    <t>You have a project that will require 120 hours of computing time. The application is stateless and can be interrupted and restarted without any adverse effect. Which of the following computing options offers the most cost-effective solution?</t>
  </si>
  <si>
    <t>Which of the following are considered primary advantages of cloud computing? (Choose 2 answers)</t>
  </si>
  <si>
    <t>What is the maximum number of open invitations you can add in a 24-hour period to link accounts to your AWS Organization?</t>
  </si>
  <si>
    <t>You are building a data loss prevention (DLP) application that needs to read text content in images and can detect and prevent the leak of Social Security Numbers as part of your compliance requirements?  Which AWS Service can help you with this?</t>
  </si>
  <si>
    <t>Which Amazon S3 service can you use to automatically migrate data from one storage class to another after a set number of days as a means of reducing your costs, especially where frequent instant access may not be required to that subset of data?</t>
  </si>
  <si>
    <t>Which files do you need to upload at a minimum to enable an Amazon S3 bucket to be used as a static website? (Choose 2 answers)</t>
  </si>
  <si>
    <t>You want to store archive data that goes back 7 years.  You will rarely access this data except in special circumstances.  Which storage service is ideal for this requirement?</t>
  </si>
  <si>
    <t>Which of the following VPC Configuration options will enable you to host web servers being placed in a public facing subnet and back-end databases hosted in a more secure private subnet with access to your corporate datacenter over a site-to-site VPN tunnel?</t>
  </si>
  <si>
    <t>You are planning on purchasing a reserved instance.  Which options do you have with regards to the contact length for the reserved instance? (Choose 2 answers)</t>
  </si>
  <si>
    <t>When setting up EC2 Instances, which configuration option enables you to identify the purpose of the EC2 server and better manage cost allocation?</t>
  </si>
  <si>
    <t>Which five categorise does Amazon Trusted Advisor report on to showcase if your workloads have been designed, deployed and are running in accordance with best practices? (Choose 5 answers)</t>
  </si>
  <si>
    <t>When retrieving data from Amazon Glacier, what is the typical time taken to make a Standard archive available?</t>
  </si>
  <si>
    <t>You are configuring AWS Organizations with multiple OUs for departments such as Operations and Development.  There is a Test/Dev Account attached to the Developers OU, and you want to ensure that they are only able to configure certain AWS Services like RDS and Lambda.  Which method can you use to restrict the Development Team to only performing certain actions?</t>
  </si>
  <si>
    <t>Which tools can you use to consolidate multiple AWS Accounts so that you can centrally manage them?</t>
  </si>
  <si>
    <t>You have just launched a Windows EC2 Instance. What method is available to you to obtain the Windows Local Administrator password?</t>
  </si>
  <si>
    <t>Your colleague informs you that he wishes to set up Amazon IAM users based on the geographical regions of your company’s branch offices.  He logs onto the AWS IAM Console and tries to select the London Region but finds that all regions have been greyed out.  What is preventing him from setting up IAM on a region by region basis?</t>
  </si>
  <si>
    <t>Which AWS Service enables you to launch a virtual private server with preconfigured components including a virtual machine, SSD-based storage, data transfer, DNS management, and a static IP for a fixed monthly price, without the complexity of designing these components individually?</t>
  </si>
  <si>
    <t>Which AWS Services enables you to run interactive SQL queries against unstructured data held in an Amazon S3 Bucket?</t>
  </si>
  <si>
    <t>You are planning on migrating 80TB of data to Amazon S3. The migration plan is scheduled to happen over the next week and you have limited Internet bandwidth of 5mbps DSL connection.  How can you migrate this data into the cloud within the specified timeframe?</t>
  </si>
  <si>
    <t>In architecting for the cloud, it is recommended that you design disposable resources instead of trying to build fixed servers.  Which two components enable you to achieve the former?</t>
  </si>
  <si>
    <t>You have an Enterprise Support Plan and are experiencing a critical business system failure.  What is the response time offered under this plan?</t>
  </si>
  <si>
    <t>Your EC2 Instances come with a monitoring feature that only offers basic metrics.  Which service should you enable to get access to more metrics?</t>
  </si>
  <si>
    <t>Which AWS service can you use to create a portfolio of products that will allow you to specify how and who can deploy them on AWS?</t>
  </si>
  <si>
    <t>As an enterprise organization, which AWS Service can you use that can provision a simple and efficient means to make controlled changes to your infrastructure?</t>
  </si>
  <si>
    <t>Which AWS feature can enable you to provision a required number of EC2 Instances and automatically launch new instances based on traffic and CPU utilization triggers?</t>
  </si>
  <si>
    <t>You are planning on setting up a Redshift Datawarehouse solutions for a corporate application. The Redshift cluster will run 24/7 for prolonged periods. How can you keep costs to a minimum?</t>
  </si>
  <si>
    <t>Purchase reserved-node offerings</t>
  </si>
  <si>
    <t>Purchase discount-node offerings</t>
  </si>
  <si>
    <t>Purchase Redshift Cluster Nodes running on HDD disks</t>
  </si>
  <si>
    <t>Purchase Redshift Clusters Nodes running on Amazon Storage</t>
  </si>
  <si>
    <t>If you intend to keep an Amazon Redshift cluster running continuously for a prolonged period, you should consider purchasing reserved-node offerings. These offerings provide significant savings over on-demand pricing, but they require you to reserve compute nodes and commit to paying for those nodes for either a 1- or 3-year duration. Ref: https://d0.awsstatic.com/whitepapers/aws_pricing_overview.pdf</t>
  </si>
  <si>
    <t>Which pricing option offers you the opportunity to try various AWS services for free as long as you keep within specified thresholds of usage?</t>
  </si>
  <si>
    <t>AWS Free Tier</t>
  </si>
  <si>
    <t>AWS LightSail</t>
  </si>
  <si>
    <t>AWS Free Trial</t>
  </si>
  <si>
    <t>AWS Trial Room</t>
  </si>
  <si>
    <t>The AWS Free Tier enables you to gain free, hands-on experience with the AWS platform, products, and services and is valid of 12 months. There are some always free services and some that are chargeable once you go above specified limits. Ref: https://aws.amazon.com/free/</t>
  </si>
  <si>
    <t>Which of the following is not part of the AWS pricing philosophy?</t>
  </si>
  <si>
    <t>Pay even less as AWS grows</t>
  </si>
  <si>
    <t>Pay even less per unit by using more</t>
  </si>
  <si>
    <t>Pay less when you consume less</t>
  </si>
  <si>
    <t>Pay less when you reserve</t>
  </si>
  <si>
    <t>AWS offers greater economies of scale and the pricing reflects this. You only pay for the resources that you use, you get discounts on reserving capacity and your unit price drops as you consume more. Ref: https://d1.awsstatic.com/whitepapers/aws-tco-web-applications.pdf</t>
  </si>
  <si>
    <t>Which AWS Report gives enables you to view line items for each unique combination of AWS product, usage type, and operation that your AWS account uses?</t>
  </si>
  <si>
    <t>AWS Cost and Usage Report</t>
  </si>
  <si>
    <t>AWS Artifact</t>
  </si>
  <si>
    <t>AWS Single Bill</t>
  </si>
  <si>
    <t>AWS Cost Management Report</t>
  </si>
  <si>
    <t>The AWS Cost and Usage report tracks your AWS usage and provides estimated charges associated with your AWS account. The report contains line items for each unique combination of AWS product, usage type, and operation that your AWS account uses. You can customize the AWS Cost and Usage report to aggregate the information either by the hour or by the day. Ref: https://docs.aws.amazon.com/awsaccountbilling/latest/aboutv2/billing-reports-costusage.html</t>
  </si>
  <si>
    <t>You are planning on launching a DynamoDB NoSQL database solution designed for your organization across all branch offices located in 6 different regions. You plan to use bal Tables to setup a fully managed, multiregion, and multimaster database that provides fast local read and write performance for massively scaled, global applications. How are you charged for writing to the database?</t>
  </si>
  <si>
    <t>The number of replicated write capacity units (rWCUs)</t>
  </si>
  <si>
    <t>The number of multi-regional write capacity units (mWCUs)</t>
  </si>
  <si>
    <t>The number of standard write capacity units (WCUs)</t>
  </si>
  <si>
    <t>The number of mirrored write capacity units (xWCUs)</t>
  </si>
  <si>
    <t>When using Global Tables, you are charged based on the resources associated with each replica table. Write capacity for Global Tables is represented by replicated write capacity units (rWCUs) instead of standard write capacity units (WCUs). Ref: https://d0.awsstatic.com/whitepapers/aws_pricing_overview.pdf</t>
  </si>
  <si>
    <t xml:space="preserve">Which AWS tool can you use to calculate your estimated monthly bill which can be used to prepare costing proposal for deploying resources on AWS?
</t>
  </si>
  <si>
    <t>AWS Account Manager</t>
  </si>
  <si>
    <t>AWS Simple Monthly Calculator</t>
  </si>
  <si>
    <t>AWS Total Cost of Ownership (TCO)</t>
  </si>
  <si>
    <t>The AWS Simple Monthly Calculator helps you estimate your monthly bill Ref: https://calculator.s3.amazonaws.com/index.html</t>
  </si>
  <si>
    <t>You are charged a discounted hourly rate for Reserved EC2 Instance as long as the instance is in a running state. If the instance is stopped, you are not charged. (True or False)</t>
  </si>
  <si>
    <t>You are charged a discounted hourly rate for a Reserved Instance for the duration of the contact. You can get larger discounts if you pay all upfront. However, you are charged that price for your EC2 instance for every hour in the term for as long as you own the Reserved Instance</t>
  </si>
  <si>
    <t>You are setting an AWS CloudFront distribution for a new video sharing web application. Your CFO would like to know the costs associated with using CloudFront. Which of the following is NOT required to estimate the cost of CloudFront?</t>
  </si>
  <si>
    <t>Data Transfer In</t>
  </si>
  <si>
    <t>Traffic distribution</t>
  </si>
  <si>
    <t>Data Transfer Out</t>
  </si>
  <si>
    <t>Number of Requests</t>
  </si>
  <si>
    <t>When estimating the cost of setting up CloudFront, key factors that will determine the price includes • Traffic Distribution which varies across geographical areas • Number and type of requests (HTTP or HTTPS) • The amount of data transferred out of your CloudFront Edge Locations Ref: https://d0.awsstatic.com/whitepapers/aws_pricing_overview.pdf</t>
  </si>
  <si>
    <t>Where can AWS customers to list their Reserved Instances for sale, if they signed up for a 1 or 3-year contract but now no longer need the instance?</t>
  </si>
  <si>
    <t>Reserved Instance Marketplace</t>
  </si>
  <si>
    <t>Spot Instance Market</t>
  </si>
  <si>
    <t>AWS Customers cannot resell a reserved instance</t>
  </si>
  <si>
    <t>EBay</t>
  </si>
  <si>
    <t>The Reserved Instance Marketplace allows other AWS customers to list their Reserved Instances for sale. Third-party Reserved Instances are often listed at lower prices and shorter terms.</t>
  </si>
  <si>
    <t>Explanation</t>
  </si>
  <si>
    <t>When running your database instance as a Multi-AZ deployment, you can use the standby for read or write operations. (True or false)</t>
  </si>
  <si>
    <t>Standby replica cannot serve read requests. Multi-AZ deployments are designed to provide enhanced database availability and durability, rather than read scaling benefits.</t>
  </si>
  <si>
    <t>Which of the following are components that determine the cost of your RDS Database Instance? (Choose 3 answers)</t>
  </si>
  <si>
    <t>Hours of use, Additional Storage and Number of Requests determine the overall cost of your RDS Instance</t>
  </si>
  <si>
    <t>Hours of use</t>
  </si>
  <si>
    <t>Additional Storage</t>
  </si>
  <si>
    <t>S3 Buckets Used</t>
  </si>
  <si>
    <t>Which of the following represent appropriate use cases for Amazon CloudFront? (Choose 3 answers)</t>
  </si>
  <si>
    <t>CloudFront is highly effective when delivering both static and dynamic content to users located in different areas. With the help of edge locations, content is made available with low latency and customers gain improved performance. Accessing content via a VPN connection does not lend itself well to CloudFront as users appear to be in the same location.</t>
  </si>
  <si>
    <t>Serving all websites containing both static and dynamic content to users from different geographical locations</t>
  </si>
  <si>
    <t>A corporate HR portal that allows employees to access the site via a VPN connection only</t>
  </si>
  <si>
    <t>A website that delivers static content such as images and videos across the globe and you wish to improve latency and speed of download</t>
  </si>
  <si>
    <t>Serving content to only company employees located in the same region across two offices</t>
  </si>
  <si>
    <t>Delivering premium training videos and courses to customers around the world and making them available to only paid customers</t>
  </si>
  <si>
    <t>Amazon RDS offers free backup up to the size of your database (True or false)</t>
  </si>
  <si>
    <t>Amazon RDS offers free backup up to the size of your database</t>
  </si>
  <si>
    <t>Amazon Redshift is suitable for which of the following types of workloads? (Choose 2 answers)</t>
  </si>
  <si>
    <t>Redshift is ideal for data warehousing, performing back office analysis and aggregation of data from multiple sources.</t>
  </si>
  <si>
    <t>A database supporting an eCommerce bookstore</t>
  </si>
  <si>
    <t>A database supporting users to download and upload images which are then used by an application to create ID cards</t>
  </si>
  <si>
    <t>A database supporting management back office analytics on best performing products and services across their product ranges</t>
  </si>
  <si>
    <t>A data warehouse system that is used to aggregate data from multiple sources</t>
  </si>
  <si>
    <t>You have just created a bucket and uploaded a file.  When you view the properties of the file, you notice there is a web URL associated with the file.  However, clicking the link gives you an “Access Denied” message.  What could be wrong?</t>
  </si>
  <si>
    <t>You need to grant public access and read/write access if you want to be able to access files over a web browser.  In addition the Bucket must be enabled for public access by ensuring that you have not this is not blocked at the account level. Ref: https://aws.amazon.com/blogs/aws/amazon-s3-block-public-access-another-layer-of-protection-for-your-accounts-and-buckets/</t>
  </si>
  <si>
    <t>Files could be opened by the root user</t>
  </si>
  <si>
    <t>You need to open port 80 on the security group</t>
  </si>
  <si>
    <t>Grant Public read access to the file for Everyone</t>
  </si>
  <si>
    <t>Set up a bucket policy to open port 80</t>
  </si>
  <si>
    <t>Which AWS support plans are suitable if you require telephone technical support?  (Choose 2 Answers)</t>
  </si>
  <si>
    <t>Telephonic technical support plans are available on the Business and Enterprise plans</t>
  </si>
  <si>
    <t>Global</t>
  </si>
  <si>
    <t>Which of the following security actions are performed by customers of AWS?  (Choose 2 Answers)</t>
  </si>
  <si>
    <t>OS Layer Patching and password Policies are the responsibility of the AWS Customer</t>
  </si>
  <si>
    <t>Implementing password Policies</t>
  </si>
  <si>
    <t>Patching Windows OS</t>
  </si>
  <si>
    <t>Issuing Access Cards to AWS Staff</t>
  </si>
  <si>
    <t>Configuring physical network firewalls at the AWS datacentre</t>
  </si>
  <si>
    <t>Which of the following represents the customer’s responsibility as part of the AWS Shared Responsibility Model? (Choose 3 answers)</t>
  </si>
  <si>
    <t>Amazon is responsible for the security of the cloud whereas customers are responsible for the workloads they deploy in the cloud. Ref: https://iaasacademy.com/aws-certified-solutions-architect-associate-exam/aws-shared-security-mode-and-gdpr-amazon-web-services/</t>
  </si>
  <si>
    <t>Replacing old network equipment</t>
  </si>
  <si>
    <t>Enabling MFA protection on the root account</t>
  </si>
  <si>
    <t>Scrubbing the physical storage media following industry guidelines</t>
  </si>
  <si>
    <t>Updating Linux Instances with Patches</t>
  </si>
  <si>
    <t>Deploying Anti-Virus on Windows Instances</t>
  </si>
  <si>
    <t>You wish to create an IAM policy to enable users to access an Amazon S3 bucket, but restrict that access from the corporate IP Address, so that only users in the office can connect to the bucket.  How should you configure the IAM policy?</t>
  </si>
  <si>
    <t>Using the Condition element, you build expressions in which you use condition operators (equal, less than, etc.) to match the condition in the policy against values in the request. Condition values can include date, time, the IP address of the requester, etc.</t>
  </si>
  <si>
    <t>Specify a Limit element to restrict access from a specific IP address</t>
  </si>
  <si>
    <t>Set up a Direct Connect between the office and Amazon S3</t>
  </si>
  <si>
    <t>Set up a VPN tunnel between the office and Amazon S3</t>
  </si>
  <si>
    <t>Specify a Condition element to restrict access from a specific IP address</t>
  </si>
  <si>
    <t>Your IT Manger has set up an AWS IAM user for you.  Which link can you use to access your AWS Management Console?</t>
  </si>
  <si>
    <t>When you set up an IAM User in your AWS Account, you access the console via a special URL, which is https://AWSAccountID.signin.aws.amazon.com/console. The AWS Account ID is unique to your AWS Account</t>
  </si>
  <si>
    <t>https://AWSAccountID.signin.aws.amazon.com/console</t>
  </si>
  <si>
    <t>https://console.aws.amazon.com/console/</t>
  </si>
  <si>
    <t>https://console.aws.amazon.com/IAMUser</t>
  </si>
  <si>
    <t>https://console.aws.amazon.com/management</t>
  </si>
  <si>
    <t>Which AWS Services offers a central resource for compliance-related information that provides on-demand access to AWS’ security and compliance reports and select online agreements?</t>
  </si>
  <si>
    <t>AWS Artifact provides on-demand access to AWS’ security and compliance reports and select online agreements. Reports include Service Organization Control (SOC) reports, Payment Card Industry (PCI) reports, and certifications from accreditation bodies across geographies and compliance verticals validate the implementation and operating effectiveness of AWS security controls.</t>
  </si>
  <si>
    <t>AWS System Manager</t>
  </si>
  <si>
    <t>AWS DMS</t>
  </si>
  <si>
    <t>Which AWS service can you use to host an RDS compatible relational database?</t>
  </si>
  <si>
    <t>You can install databases on EC2 Instances if you are not able to use the managed RDS solution on the AWS platform.</t>
  </si>
  <si>
    <t>ECR</t>
  </si>
  <si>
    <t>DBMS</t>
  </si>
  <si>
    <t>Which of the following services are completely free on the AWS platform? (Choose 4 answers).</t>
  </si>
  <si>
    <t>VPC, Elastic Beanstalk, CloudFormation, and IAM are all free.  However, some of the resources that they help create and deploy may not be free. For example, The CloudFormation tool itself is free as is creating templates.  However, when CloudFormation is used to launch EC2 Instances from the template, those EC2 Instances will be chargeable.  Similarly, if you use Elastic Beanstalk to launch a Load Balancer, the Elastic Beanstalk service itself is free, but not the Elastic Load Balancer.</t>
  </si>
  <si>
    <t>Elastic Load Balancers</t>
  </si>
  <si>
    <t>Elastic Beanstalk Service</t>
  </si>
  <si>
    <t>VPC</t>
  </si>
  <si>
    <t>EC2 Instance</t>
  </si>
  <si>
    <t>RDS</t>
  </si>
  <si>
    <t>IAM</t>
  </si>
  <si>
    <t>CloudFormation</t>
  </si>
  <si>
    <t>You currently run MySQL RDS database instance and you need to upgrade to a more scalable database that offers high performance and high availability.  Which of the following database instances should you migrate/update to?</t>
  </si>
  <si>
    <t>Aurora can read MySQL databases and is a natural upgrade point for MySQL that offers high availability and scalability</t>
  </si>
  <si>
    <t>Cobol</t>
  </si>
  <si>
    <t>If you accidentally give your access key ID and secret access key to an unauthorized person, what can you do to protect your account?</t>
  </si>
  <si>
    <t>You can choose ‘Make Inactive’ to disable your Access Key ID and Secret Access Key if you feel the keys may have been compromised.</t>
  </si>
  <si>
    <t>Raise a support request with Amazon to block the keys</t>
  </si>
  <si>
    <t>Re-create your IAM Account</t>
  </si>
  <si>
    <t>Make Inactive using the IAM console</t>
  </si>
  <si>
    <t>Reset your IAM User password</t>
  </si>
  <si>
    <t>Which Amazon Infrastructure component is used to cache content locally using Amazon CloudFront?</t>
  </si>
  <si>
    <t>Edge Locations are used to cache content locally for use with CloudFront</t>
  </si>
  <si>
    <t>Edge Locations</t>
  </si>
  <si>
    <t>EC2 Instances</t>
  </si>
  <si>
    <t>Availability Zones</t>
  </si>
  <si>
    <t>Regions</t>
  </si>
  <si>
    <t>You are planning on purchasing a Reserved EC2 Instance.  Which of the following classes of Reserved Instances are available? (Choose 2 answers)</t>
  </si>
  <si>
    <t>When you purchase a Reserved Instance, you can choose between a Standard or Convertible offering class. The Reserved Instance applies to a single instance family, platform, scope, and tenancy over a term. If your computing needs change, you may be able to modify or exchange your Reserved Instance if you use convertible reserved instances.</t>
  </si>
  <si>
    <t>Standard</t>
  </si>
  <si>
    <t>Secure</t>
  </si>
  <si>
    <t>Convertible</t>
  </si>
  <si>
    <t>Shared</t>
  </si>
  <si>
    <t>Which of the following core services are offered by Amazon Route53?  (Choose 4 answers)</t>
  </si>
  <si>
    <t>You can perform Domain Registration, DNS Management, Traffic Management, and Availability Monitoring</t>
  </si>
  <si>
    <t>Database Management</t>
  </si>
  <si>
    <t>Traffic Management</t>
  </si>
  <si>
    <t>IP Addressing</t>
  </si>
  <si>
    <t>Domain Registration</t>
  </si>
  <si>
    <t>Route Tables</t>
  </si>
  <si>
    <t>Availability Monitoring</t>
  </si>
  <si>
    <t>DNS Management</t>
  </si>
  <si>
    <t>Can on-premises servers access an EFS file system on AWS?</t>
  </si>
  <si>
    <t>To access EFS file systems from on-premises, you must have an AWS Direct Connect connection or an IPSEC site to site VPN Connection between your on-premises datacenter and your Amazon VPC. AWS Direct Connect establishes a private network connection between your on-premises datacenter and AWS.</t>
  </si>
  <si>
    <t>No</t>
  </si>
  <si>
    <t>Yes</t>
  </si>
  <si>
    <t>Which service takes advantage of Amazon CloudFront’s globally distributed edge locations and enables fast, easy, and secure transfers of files over long distances between your client and an S3 bucket</t>
  </si>
  <si>
    <t>S3 Transfer Acceleration uses CloudFront’s globally distributed edge locations to provide fast file transfers over long distances. You might want to use Transfer Acceleration on a bucket for various reasons, including the following: • You have customers that upload to a centralized bucket from all over the world. • You transfer gigabytes to terabytes of data on a regular basis across continents. • You underutilize the available bandwidth over the Internet when uploading to Amazon S3.</t>
  </si>
  <si>
    <t>S3 Transfer Acceleration</t>
  </si>
  <si>
    <t>Lambda</t>
  </si>
  <si>
    <t>Route 53</t>
  </si>
  <si>
    <t>Kinesis</t>
  </si>
  <si>
    <t>Which of the following characteristics are you charged for when using the AWS Cloud? (Choose 3 answers)</t>
  </si>
  <si>
    <t>There is no charge for data transfer into the AWS cloud and between AWS services within a region. However, there is a charge for storage used, compute time and data transfer out.</t>
  </si>
  <si>
    <t>Storage</t>
  </si>
  <si>
    <t>Data Transfer between services in the same region</t>
  </si>
  <si>
    <t>Compute</t>
  </si>
  <si>
    <t>Which of the following are some of the six advantages of cloud computing? (Choose 3 answers)</t>
  </si>
  <si>
    <t>The six advantages of cloud computing as per Amazon AWS are: • Trade capital expense for variable expense • Benefit from massive economies of scale • Stop guessing capacity • Increase speed and agility • Stop spending money running and maintaining data centres • Go global in minutes</t>
  </si>
  <si>
    <t>Stop guessing about capacity</t>
  </si>
  <si>
    <t>Increase speed and agility</t>
  </si>
  <si>
    <t>Ability to rent physical space at Amazon Datacentre to rack your own server hardware</t>
  </si>
  <si>
    <t>Launch applications and servers within 72 hours lead time</t>
  </si>
  <si>
    <t>Which methods are available to you for accessing and configuring AWS cloud services?  (Choose 3 answers)</t>
  </si>
  <si>
    <t>To access and configure any of the AWS Services, you can use the AWS Management Console, CLI or APIs</t>
  </si>
  <si>
    <t>Command Execution Interface (CEI)</t>
  </si>
  <si>
    <t>AWS and Individual Services Console</t>
  </si>
  <si>
    <t>Ability to visit your region AWS Datacentre and access serves interactively</t>
  </si>
  <si>
    <t>Command Line Interface (CLI)</t>
  </si>
  <si>
    <t>Application Programming Interface (API)</t>
  </si>
  <si>
    <t>Which protocol is used if you want to encrypt files as they are transmitted over the Internet to an Amazon S3 bucket?</t>
  </si>
  <si>
    <t>HTTPS works on port 443 and requires an SSL Certificate to encrypt traffic as it is transmitted over the Internet to a bucket</t>
  </si>
  <si>
    <t>SMTP</t>
  </si>
  <si>
    <t>FTP</t>
  </si>
  <si>
    <t>HTTPS</t>
  </si>
  <si>
    <t>HTTP</t>
  </si>
  <si>
    <t>Which of the following is a factor that can help determine the total cost of ownership for the AWS Cloud?</t>
  </si>
  <si>
    <t>By migrating servers to AWS, you will reduce the physical management of these on-premises servers, and thus, the total cost of ownership</t>
  </si>
  <si>
    <t>Number of Security Groups Deployed in a VPC</t>
  </si>
  <si>
    <t>Number of servers migrated from on-premises to AWS</t>
  </si>
  <si>
    <t>IP Address Range of a VPC</t>
  </si>
  <si>
    <t>Total number of IAM Users created</t>
  </si>
  <si>
    <t>Which AWS Services enables you to quickly deploy and manage applications in the AWS Cloud without worrying about the infrastructure that runs those applications?</t>
  </si>
  <si>
    <t>With Elastic Beanstalk, you can quickly deploy and manage applications in the AWS Cloud without worrying about the infrastructure that runs those applications. AWS Elastic Beanstalk reduces management complexity without restricting choice or control.</t>
  </si>
  <si>
    <t>Elastic Deployment</t>
  </si>
  <si>
    <t xml:space="preserve">Elastic Beanstalk </t>
  </si>
  <si>
    <t xml:space="preserve">CloudFormation </t>
  </si>
  <si>
    <t>Which Kinesis Services enables you to securely stream video from connected devices to AWS for analytics, machine learning (ML), playback, and other processing.</t>
  </si>
  <si>
    <t>Amazon Kinesis Video Streams makes it easy to securely stream video from connected devices to AWS for analytics, machine learning (ML), playback, and other processing. It also durably stores, encrypts, and indexes video data in your streams, and allows you to access your data through easy-to-use APIs. Kinesis Data Stream continuously capture gigabytes of data per second from hundreds of thousands of sources such as website clickstreams, database event streams, financial transactions, social media feeds, IT logs, and location-tracking events. Kinesis Data Firehose enables you to load streaming data into data stores and analytics tools. It can capture, transform, and load streaming data into Amazon S3, Amazon Redshift, Amazon Elasticsearch Service and Splunk.</t>
  </si>
  <si>
    <t>AWS Kinesis Video Stream</t>
  </si>
  <si>
    <t>AWS Kinesis Data Firehose</t>
  </si>
  <si>
    <t>AWS Kinesis Data Stream</t>
  </si>
  <si>
    <t>AWS Kinesis Data Analytics</t>
  </si>
  <si>
    <t>Which AWS Service enables you to deploy a virtual desktop infrastructure in the cloud using either Windows or Linux desktop operating systems such as Windows 7, 10 or Amazon Linux?</t>
  </si>
  <si>
    <t>Amazon WorkSpaces is a managed, secure, cloud desktop service. You can use Amazon WorkSpaces to provision either Windows or Linux desktops in just a few minutes and quickly scale to provide thousands of desktops to workers across the globe. You can pay either monthly or hourly, just for the WorkSpaces you launch, which helps you save money when compared to traditional desktops and on-premises VDI solutions. Amazon WorkSpaces helps you eliminate the complexity in managing hardware inventory, OS versions and patches, and Virtual Desktop Infrastructure (VDI), which helps simplify your desktop delivery strategy.</t>
  </si>
  <si>
    <t>Workspaces</t>
  </si>
  <si>
    <t>VirtualDesktop</t>
  </si>
  <si>
    <t>Your organization has multiple AWS Accounts for different purposes, such as Test &amp; Dev, Production and Back Office.  Each Account has its own set of services and incurs charges.  Which AWS service can you use to take advantage of volume discounts by clubbing your Accounts together?</t>
  </si>
  <si>
    <t>Consolidated Billing enables you to link your accounts and take advantage of volume price discounts</t>
  </si>
  <si>
    <t>AWS Root Account</t>
  </si>
  <si>
    <t>AWS Managed Services</t>
  </si>
  <si>
    <t>Consolidated Billing</t>
  </si>
  <si>
    <t>AWS Club Accounts</t>
  </si>
  <si>
    <t>Which EBS Volume is suitable for applications requiring high I/O such as a NoSQL Database?</t>
  </si>
  <si>
    <t>Provisioned IOPS SSD (IO1) is used by high IO-intensive applications</t>
  </si>
  <si>
    <t>Throughput Optimized HDD (ST1)</t>
  </si>
  <si>
    <t>Provisioned IOPS SSD (IO1)</t>
  </si>
  <si>
    <t>Cold HDD (SC1)</t>
  </si>
  <si>
    <t>General Purpose SSD GP2</t>
  </si>
  <si>
    <t>Which of the following determine the price of S3?  (Choose 2 answers).</t>
  </si>
  <si>
    <t>EBS and EFS have nothing to do with S3</t>
  </si>
  <si>
    <t>Amount of Storage</t>
  </si>
  <si>
    <t>EFS Volumes</t>
  </si>
  <si>
    <t>Storage Class</t>
  </si>
  <si>
    <t>EBS Type</t>
  </si>
  <si>
    <t>When designing a loose coupling infrastructure, which of the following examples represents service discovery?</t>
  </si>
  <si>
    <t>Service Discovery means that you do not tie down a service to a specific parameter or value. Using DNS names for end points instead of using IP Address ensures flexibility for failover</t>
  </si>
  <si>
    <t>Ability of EC2 Instances to discover Internet Gateway</t>
  </si>
  <si>
    <t>Use of DNS names to identify endpoints instead of IP Addresses such as ELBs</t>
  </si>
  <si>
    <t>Ability to assign Elastic IP Addresses</t>
  </si>
  <si>
    <t>Ability to identify services in the AWS Console</t>
  </si>
  <si>
    <t>What is the AWS Personal Health Dashboard?</t>
  </si>
  <si>
    <t>Personal Health Dashboard gives you a personalized view of the status of the AWS services that power your applications, enabling you to quickly see when AWS is experiencing issues that may impact you.</t>
  </si>
  <si>
    <t>A HIPPA compliant medical reporting tool</t>
  </si>
  <si>
    <t>A general status tool of all AWS Services</t>
  </si>
  <si>
    <t>A medical application to monitor your heart rate</t>
  </si>
  <si>
    <t>A tool which provides performance and availability of AWS services used to run your deployed resources</t>
  </si>
  <si>
    <t>Which AWS Service offers guidance on how you can further optimize your costs and identify areas to save money?</t>
  </si>
  <si>
    <t>Trusted Advisor helps you provision your resources and save on costs.</t>
  </si>
  <si>
    <t>Cloud Watch</t>
  </si>
  <si>
    <t>Cloud Cost</t>
  </si>
  <si>
    <t>Trusted Advisor</t>
  </si>
  <si>
    <t>AWS Bills</t>
  </si>
  <si>
    <t>Which AWS Security feature can be used to examine connections to your web application at layer 7 and identify and prevent any potential exploits like an SQL Injections?</t>
  </si>
  <si>
    <t>An AWS Web Application Firewall (WAF) can be used to prevent potential exploits at the application layer.</t>
  </si>
  <si>
    <t>AWS WAF</t>
  </si>
  <si>
    <t>AWS Firewall</t>
  </si>
  <si>
    <t>AWS Security Group</t>
  </si>
  <si>
    <t>AWS Router</t>
  </si>
  <si>
    <t>Are you allowed to run vulnerability testing against your AWS workloads?</t>
  </si>
  <si>
    <t>You can run vulnerability tests against your workloads as long as you inform AWS when you plan to run the test, and you only run this against your own workloads</t>
  </si>
  <si>
    <t>What is the recommended best practice when assigning IAM permissions to a user?</t>
  </si>
  <si>
    <t>When you create IAM policies, follow the standard security advice of granting least privileges—that is, granting only the permissions required to perform a task. Determine what users need to do and then craft policies for them that let the users perform only those tasks. Start with a minimum set of permissions and grant additional permissions when necessary. Doing so is more secure than starting with permissions that are too lenient and then trying to tighten them later.</t>
  </si>
  <si>
    <t>Always use the root account to deploy EC2 instances</t>
  </si>
  <si>
    <t>Grant more permissions than is needed to increase agility</t>
  </si>
  <si>
    <t>Always use the principal of least privileges</t>
  </si>
  <si>
    <t>Grant the user full admin rights to IAM</t>
  </si>
  <si>
    <t>You have created a user with full access to Amazon S3.  You need to list the available buckets from the EC2 Server and create additional buckets using the command line interface.  However, when you log in to the EC2 server, you are not able to list your existing buckets.  What do you need to do to enable full S3 access from the EC2 Instance?</t>
  </si>
  <si>
    <t>You will need to use the AWS Configure command to input your Access Key ID and Secret Access Key which will be used to enable your access to Amazon S3, and thus, list or create buckets as required</t>
  </si>
  <si>
    <t>Configure S3 with the user's login credentials and grant list permissions</t>
  </si>
  <si>
    <t>Use AWS Configure and provide your Access Key ID and Secret Access Key</t>
  </si>
  <si>
    <t>Make the EC2 Instance a member of the same group as the user</t>
  </si>
  <si>
    <t>Raise a support request with Amazon</t>
  </si>
  <si>
    <t>Your company has multiple branch offices and you have just created a new AMI for an EC2 Instance that your IT colleagues in branch offices need to use.  What is the quickest way to make the AMI available to them?</t>
  </si>
  <si>
    <t>AMIs can be copied to other regions and made available to your colleagues in those regions when they launch new EC2 Instances</t>
  </si>
  <si>
    <t>Place the AMI in an S3 bucket and set up Cross-Region Replication</t>
  </si>
  <si>
    <t>Configure VPN connection between the regional offices and copy to a shared folder</t>
  </si>
  <si>
    <t>Copy the AMI to the other regions</t>
  </si>
  <si>
    <t>Subscribe to Amazon Snowball to securely send copies of the AMI to other regions</t>
  </si>
  <si>
    <t>Which AWS service enables you to create standard hardened server configuration as a template which you can deploy for production workloads?</t>
  </si>
  <si>
    <t>CloudFormation enables you to build a template of your infrastructure as code which you can configure to your exact specification that can be then be used to deploy servers that meet the configuration and security requirements for the business</t>
  </si>
  <si>
    <t>Cloud Template</t>
  </si>
  <si>
    <t>Cloud Orchestrator</t>
  </si>
  <si>
    <t>Which two file formats are used when creating CloudFormation templates? (Choose 2 answers).</t>
  </si>
  <si>
    <t>You can use JSON and YAML formats to design your CloudFormation templates</t>
  </si>
  <si>
    <t>JSON</t>
  </si>
  <si>
    <t>YAML</t>
  </si>
  <si>
    <t>XML</t>
  </si>
  <si>
    <t>JAVA</t>
  </si>
  <si>
    <t>HTML</t>
  </si>
  <si>
    <t>You wish to identify when members of your custom group in AWS last logged in.  Where can you get this information?</t>
  </si>
  <si>
    <t>You can identify when a user last logged in by looking at their entry in the User’s menu in IAM console and under the ‘Last activity’ column.</t>
  </si>
  <si>
    <t>In the IAM Console, click on Users and under the ‘Last activity’ column</t>
  </si>
  <si>
    <t>In the MetaData Console</t>
  </si>
  <si>
    <t>In the IAM Console under Last Logged in column</t>
  </si>
  <si>
    <t>In the UserData Console</t>
  </si>
  <si>
    <t>Are Key Pairs unique to the region in which you have created them?</t>
  </si>
  <si>
    <t>Key Pairs are unique to the region in which you create them. If you wish to launch an EC2 Instance in another region, you need to ensure you configure a Key Pair for that region.</t>
  </si>
  <si>
    <t>Which of the following is NOT a feature of DynamoDB?</t>
  </si>
  <si>
    <t>DynamoDB is a NoSQL Database. It automatically partitions and re-partitions your data and provisions additional server capacity as your table size grows or you increase your provisioned throughput. Amazon DynamoDB synchronously replicates data across three facilities in an AWS Region, giving you high availability and data durability.</t>
  </si>
  <si>
    <t>It synchronously replicates data across 3 facilities within a Region.</t>
  </si>
  <si>
    <t>It runs exclusively on Solid State Drives (SSDs).</t>
  </si>
  <si>
    <t>It is a Relational Database.</t>
  </si>
  <si>
    <t>It offers seamless scaling with no downtime.</t>
  </si>
  <si>
    <t>Which AWS Calculator can be used to work out your monthly AWS costs for services deployed in your AWS Account?</t>
  </si>
  <si>
    <t>The AWS Simple Monthly Calculator helps users to work out and estimate their monthly costs for AWS Workloads more efficiently.</t>
  </si>
  <si>
    <t>AWS Detailed Monthly Calculator</t>
  </si>
  <si>
    <t>AWS Service Calculator</t>
  </si>
  <si>
    <t>AWS Pricing Calculator</t>
  </si>
  <si>
    <t>Which AWS Service enables you to connect your private datacenter to your Amazon VPC with up to 10Gbps network connectivity?</t>
  </si>
  <si>
    <t>AWS Direct Connect provides 1 Gbps and 10 Gbps connections, and you can easily provision multiple connections if you need more capacity. You can also use AWS Direct Connect instead of establishing a VPN connection over the Internet to your Amazon VPC, avoiding the need to utilize VPN hardware that frequently can’t support data transfer rates above 4 Gbps.</t>
  </si>
  <si>
    <t>Snowball</t>
  </si>
  <si>
    <t>Virtual Satellite Network (VSN)</t>
  </si>
  <si>
    <t>Virtual Private Network (VPN)</t>
  </si>
  <si>
    <t>Direct Connect</t>
  </si>
  <si>
    <t>What type of storage is offered by Amazon S3?</t>
  </si>
  <si>
    <t>Amazon S3 offers object-based storage which is flat file storage.  You are not able to install applications on S3 or format the storage unit for use as a block device attached to a server.  For that you will need block storage such as Amazon Elastic Block Storage (EBS)</t>
  </si>
  <si>
    <t>Crypto</t>
  </si>
  <si>
    <t>Object</t>
  </si>
  <si>
    <t>Block</t>
  </si>
  <si>
    <t>Brick</t>
  </si>
  <si>
    <t>You wish to purchase a fleet of spot instances to perform certain tasks.  What is the price you pay per hour for your spot instances?</t>
  </si>
  <si>
    <t>Even though you bid on a particular price, known as the bid price, you will actually pay the spot price which will either be the same as your bid price or less than your bid price. If the spot price rises above your bid price, then you will lose the instance.</t>
  </si>
  <si>
    <t>On-Demand Price</t>
  </si>
  <si>
    <t>Market Price</t>
  </si>
  <si>
    <t>Bid Price</t>
  </si>
  <si>
    <t>Spot Price</t>
  </si>
  <si>
    <t>NACLs traffic rules and restrictions are applied to:</t>
  </si>
  <si>
    <t>Network Access Control Lists (NACLs) are stateless firewalls that are applied at the Subnet Level. Security Groups are applied at the Instance level. You do not have any AWS firewall service at the VPC level itself or at regional level.</t>
  </si>
  <si>
    <t>Subnets</t>
  </si>
  <si>
    <t>Region</t>
  </si>
  <si>
    <t>What is the standard pricing model for Amazon S3? (Choose 3 answers)</t>
  </si>
  <si>
    <t>You are charged per the storage used, the number of requests made and if you transfer data over the Internet.</t>
  </si>
  <si>
    <t>SSD vs Provisioned IOPS</t>
  </si>
  <si>
    <t>Number of disks used</t>
  </si>
  <si>
    <t>Storage per GB</t>
  </si>
  <si>
    <t>Data transfer out</t>
  </si>
  <si>
    <t>Which of the following best describes EBS?</t>
  </si>
  <si>
    <t>EBS is a virtual hard disk in the cloud and serves as block storage</t>
  </si>
  <si>
    <t>A drive store like Google Drive</t>
  </si>
  <si>
    <t>A virtual hard disk in the cloud</t>
  </si>
  <si>
    <t>Object Storage</t>
  </si>
  <si>
    <t>Compute Power</t>
  </si>
  <si>
    <t>IAM policies are written in?</t>
  </si>
  <si>
    <t>IAM Policies are written in JSON</t>
  </si>
  <si>
    <t>C#</t>
  </si>
  <si>
    <t>You need to compare the cost of purchasing a new on-premises NAS server with that of deploying an EFS volume in the cloud and hosting your servers in AWS.  Which tool can you use to perform this comparison?</t>
  </si>
  <si>
    <t>Use the Total Cost of Ownership calculator to compare the cost of running your applications in an on-premises or colocation environment to AWS</t>
  </si>
  <si>
    <t>AWS Storage Calculator</t>
  </si>
  <si>
    <t>EFS Volum Analyzer</t>
  </si>
  <si>
    <t>Total Cost of Ownership</t>
  </si>
  <si>
    <t>Simple Monthly Calculator</t>
  </si>
  <si>
    <t>Which AWS S3 service can be used to help prevent accidental deletion of objects?</t>
  </si>
  <si>
    <t>Versioning can be used to help prevent accidental deletion of objects</t>
  </si>
  <si>
    <t>Prevent Delete Option</t>
  </si>
  <si>
    <t>Shadow Copy Service</t>
  </si>
  <si>
    <t>In order to meet compliance for data residency laws, Amazon never replicates data stored in S3 automatically across:</t>
  </si>
  <si>
    <t>Amazon does not replicate data across Regions automatically.  However, you can setup Cross Region Replication if you business requires this and you are not restricted by any compliance laws.</t>
  </si>
  <si>
    <t>Storage Units in a single Availability Zone</t>
  </si>
  <si>
    <t>Disks</t>
  </si>
  <si>
    <t>You wish to migrate your on-premise tape backup solution to the AWS Storage Gateway Platform.  Which protocol can help you mount these virtual tapes for your backup application?</t>
  </si>
  <si>
    <t>With a Gateway-Virtual Tape Library, you get one media changer and ten tape drives. These tape drives and the media changer are available to your existing client backup applications as iSCSI devices.</t>
  </si>
  <si>
    <t>SAN</t>
  </si>
  <si>
    <t>MNT</t>
  </si>
  <si>
    <t>Iscsi</t>
  </si>
  <si>
    <t>What is the primary benefit of accessing AWS Services via API Calls?</t>
  </si>
  <si>
    <t>With API Calls, you can manage your AWS resources programmatically</t>
  </si>
  <si>
    <t>You can reduce cost if you make API calls vs. Console Acces</t>
  </si>
  <si>
    <t>You get 100% protection from DDOS attacks</t>
  </si>
  <si>
    <t>This is a cool feature to have</t>
  </si>
  <si>
    <t>You can manage the AWS services programmatically</t>
  </si>
  <si>
    <t>You wish to create an S3 bucket to be used as a static website.  What can you use to make the entire bucket public?</t>
  </si>
  <si>
    <t>You can use Bucket Policies to make the entire S3 bucket public. However, ensure that you are not blocking access at the account level. Ref: https://aws.amazon.com/blogs/aws/amazon-s3-block-public-access-another-layer-of-protection-for-your-accounts-and-buckets/</t>
  </si>
  <si>
    <t>ACLS</t>
  </si>
  <si>
    <t>NACLS</t>
  </si>
  <si>
    <t>NTFS Permissions</t>
  </si>
  <si>
    <t>Which of the following compliance legislation does AWS meet to securely store medical records in the US?</t>
  </si>
  <si>
    <t>HIPPA compliance relates to the regulatory requirements of how patient records are stored.</t>
  </si>
  <si>
    <t>PCS DSS Level 1</t>
  </si>
  <si>
    <t>HIPAA</t>
  </si>
  <si>
    <t>ISO 9898</t>
  </si>
  <si>
    <t>ISO 27001</t>
  </si>
  <si>
    <t>Which of the following are acceptable IAM User Names? (Choose 2 answers)</t>
  </si>
  <si>
    <t>User names should contain alphanumeric characters, or any of the following: _+=,.@-</t>
  </si>
  <si>
    <t>John_Smith</t>
  </si>
  <si>
    <t>John Smith</t>
  </si>
  <si>
    <t>mike.smith</t>
  </si>
  <si>
    <t>mike*smith</t>
  </si>
  <si>
    <t>mike!smith</t>
  </si>
  <si>
    <t>S3 can be used to host a dynamic website, like one that runs on a LAMP stack.</t>
  </si>
  <si>
    <t>You can host static websites on S3 but are not able to host any dynamic sites designed with server side scripting.</t>
  </si>
  <si>
    <t>Which AWS service can be installed on your EC2 Instances and run security checks on your servers to identify vulnerability?</t>
  </si>
  <si>
    <t>AWS Inspector is an agent you install on your EC2 Instance and run analysis to identify vulnerabilities</t>
  </si>
  <si>
    <t>AWS Inspector</t>
  </si>
  <si>
    <t>AWS Trusted Advisor</t>
  </si>
  <si>
    <t>AWS Shield</t>
  </si>
  <si>
    <t>You wish to design a web solution platform such that you can offer high availability and fault tolerance.  To that effect, you have decided to host multiple webservers running your website.  How can you distribute traffic to your web servers so that the load is evenly spread across the web servers and ensure high availability in case a particular server fails?</t>
  </si>
  <si>
    <t>Elastic Load Balancers enable you to distribute incoming traffic across multiple server instances, and thus, offer high availability and fault tolerance</t>
  </si>
  <si>
    <t>Implement Auto Scaling</t>
  </si>
  <si>
    <t>Implement EMR</t>
  </si>
  <si>
    <t>Implement an Elastic Load Balancer</t>
  </si>
  <si>
    <t>Implement Provisioned IOPS Storage</t>
  </si>
  <si>
    <t>You plan to set up DNS failover using Amazon Route53.  Which feature of Route53 can you use to test your web application's availability and reachability?</t>
  </si>
  <si>
    <t>Health Checks can be used to determine if the primary site is online and if not, your failover routing policy can redirect traffic to a secondary site.</t>
  </si>
  <si>
    <t>Health Checks</t>
  </si>
  <si>
    <t>Private DNS</t>
  </si>
  <si>
    <t>DNS Ping</t>
  </si>
  <si>
    <t>You have launched four Windows based Spot Instances for a specific workload in your AWS Account.  Your bid price was $0.05 per hour and the spot price at the time of launch was $0.04 per hour.  After 1.5 hours, the spot price rose to $0.06 an hour and your instances were terminated by Amazon.  What was the total EC2 compute cost for your Spot Instances?</t>
  </si>
  <si>
    <t>You are charged at the spot price regardless of your bid price. You are not charged for any partial hour usage if Amazon terminates your instance.</t>
  </si>
  <si>
    <t>$0.25</t>
  </si>
  <si>
    <t>$0.00</t>
  </si>
  <si>
    <t>$0.20</t>
  </si>
  <si>
    <t>$0.16</t>
  </si>
  <si>
    <t>Your finance team would like to be alerted when the cost of using a new AWS test/dev account is about to reach the approved budget for an upcoming project.  Which AWS tool can you use to help you achieve this need?</t>
  </si>
  <si>
    <t>AWS Budgets gives you the ability to set custom budgets that alert you when your costs or usage exceed (or are forecasted to exceed) your budgeted amount. Budgets can be tracked at the monthly, quarterly, or yearly level, and you can customize the start and end dates. You can further refine your budget to track costs associated with multiple dimensions, such as AWS service, linked account, tag, and others. Budget alerts can be sent via email and/or Amazon Simple Notification Service (SNS) topic.</t>
  </si>
  <si>
    <t>AWS Cost Manager</t>
  </si>
  <si>
    <t>AWS Budgets</t>
  </si>
  <si>
    <t>AWS Consolidated Billing</t>
  </si>
  <si>
    <t>AWS Cost Predictor</t>
  </si>
  <si>
    <t>What two types of root storage devices are available for EC2 Instances? (Choose 2 answers)</t>
  </si>
  <si>
    <t>You can launch an instance from either an instance store-backed AMI or an Amazon EBS-backed AMI, and as such, the root device can be either an instance store volume or an EBS volume</t>
  </si>
  <si>
    <t>Instance Store</t>
  </si>
  <si>
    <t>VDH</t>
  </si>
  <si>
    <t>When an Elastic Load Balancer detects an unhealthy EC2 Instance, what action does it perform in regards to distributing incoming traffic?</t>
  </si>
  <si>
    <t>Elastic Load Balancers will only send traffic to healthy EC2 instances. It will not try to restart the instance or terminate the instance. Auto Scaling is the service which launches new instances when the load on your server increases and terminates those instances when traffic/load drops.</t>
  </si>
  <si>
    <t>It terminates the failed instance so that it is not part of the ELB target group</t>
  </si>
  <si>
    <t>It only sends traffic to the remaining healthy instances</t>
  </si>
  <si>
    <t>It continues to send traffic to the failed instance</t>
  </si>
  <si>
    <t>It restarts the unhealthy EC2 Instance</t>
  </si>
  <si>
    <t>Which VPC Firewall solution enables you to deny inbound traffic from a specific IP address which can be used to prevent malicious attacks?</t>
  </si>
  <si>
    <t>Network Access Control Lists (NACLs) allow you to configure both allow and deny rules. You should remember that the rules are applied in order of priority where the lowest numbered rule has a higher priority</t>
  </si>
  <si>
    <t>AWS Security Groups</t>
  </si>
  <si>
    <t>AWS Preventor</t>
  </si>
  <si>
    <t>AWS Network Access Control Lists (NACLs)</t>
  </si>
  <si>
    <t>You company has a primary production website in US and a DR Site in Sydney.  You need to configure DNS such that if your primary site becomes unavailable, you can fail DNS over to the secondary site.  Which DNS routing policy can you configure to achieve this?</t>
  </si>
  <si>
    <t>You can monitor the site in the US region using Health Checks; and if they become unhealthy, you can create a secondary policy to failover to your Sydney region.</t>
  </si>
  <si>
    <t>Failover Routing</t>
  </si>
  <si>
    <t>Latency Routing</t>
  </si>
  <si>
    <t>Which AWS services enables you to launch a virtual network that closely resembles a traditional network that you'd operate in your own data center?</t>
  </si>
  <si>
    <t>Amazon Virtual Private Cloud (Amazon VPC) enables you to launch AWS resources into a virtual network that you've defined. This virtual network closely resembles a traditional network that you'd operate in your own data center, with the benefits of using the scalable infrastructure of AWS.</t>
  </si>
  <si>
    <t>Amazon  Workspaces</t>
  </si>
  <si>
    <t>Amazon MVC</t>
  </si>
  <si>
    <t>Amazon SNS</t>
  </si>
  <si>
    <t>Amazon VPC</t>
  </si>
  <si>
    <t>What is the retention period available for Amazon RDS automated backups?</t>
  </si>
  <si>
    <t>Retention period for Amazon RDS automated backups can be between one day and 35 days.</t>
  </si>
  <si>
    <t>Between One Day and 35 Days</t>
  </si>
  <si>
    <t>Between One Day and 90 Days</t>
  </si>
  <si>
    <t>Between One Day and 45 Days</t>
  </si>
  <si>
    <t>Between One Day and 65 Days</t>
  </si>
  <si>
    <t>What is the level of durability offered on Amazon S3 (Standard Class)?</t>
  </si>
  <si>
    <t>Amazon S3 offers 11 9’s of durability for their Standard Storage Class as well as for their Infrequent Access and Glacier Class</t>
  </si>
  <si>
    <t>99.99%</t>
  </si>
  <si>
    <t>99.95%</t>
  </si>
  <si>
    <t>Which IAM feature enables you to grant secure access to other AWS accounts?</t>
  </si>
  <si>
    <t>IAM Roles enable you to grant granular permissions to trusted entities. This can include other AWS accounts for cross account access.</t>
  </si>
  <si>
    <t>ExternalID</t>
  </si>
  <si>
    <t>Which AWS Service provides historical cost associated with an EC2 Instance usage?</t>
  </si>
  <si>
    <t>Amazon Cost Explorer provides historical cost associated with an EC2 Instance usage</t>
  </si>
  <si>
    <t>To restrict access to an entire S3 bucket, you can use bucket policies.  If you want to restrict access to an individual object, use access control lists (True or false)</t>
  </si>
  <si>
    <t>To restrict access to an entire S3 bucket, you can use bucket policies. If you want to restrict access to an individual object, you use access control lists</t>
  </si>
  <si>
    <t>Which of the following AWS services controls Authentication and Authorization within an AWS account?</t>
  </si>
  <si>
    <t>Amazon Identity and Access Management (IAM) handles account authentication and authorization services through policies applied to users, groups and roles.</t>
  </si>
  <si>
    <t>Security Groups</t>
  </si>
  <si>
    <t xml:space="preserve">AWS Shield </t>
  </si>
  <si>
    <t>Where can you set up Billing Alarms?</t>
  </si>
  <si>
    <t>CloudWatch enables you to configure Alarms</t>
  </si>
  <si>
    <t>EC2 Dashboard</t>
  </si>
  <si>
    <t>Which of the following is a recommended strategy and approach when designing solutions to be hosted on AWS?</t>
  </si>
  <si>
    <t>When designing solutions, always aim to build for failure which effectively means to design solutions that are redundant, highly available, scalable and fault tolerant</t>
  </si>
  <si>
    <t>Keep sensitive data off the cloud and only host non-sensitive data on AWS</t>
  </si>
  <si>
    <t>Host all corporate websites on premise only to avoid getting hacked</t>
  </si>
  <si>
    <t>Build for failure and nothing will fail</t>
  </si>
  <si>
    <t>Deploy your solution in a single availability zone to reduce costs</t>
  </si>
  <si>
    <t>Which industry standards &amp; best practice does the AWS Managed Service offering comply with?</t>
  </si>
  <si>
    <t>AWS Managed Services follows ITIL, a popular IT service management framework used by many Enterprises.</t>
  </si>
  <si>
    <t>PMP</t>
  </si>
  <si>
    <t>Prince2</t>
  </si>
  <si>
    <t>Agile</t>
  </si>
  <si>
    <t>ITIL</t>
  </si>
  <si>
    <t>Which Amazon Database solution offers high levels of scalability and high availability, and does not need complex joins or transactions?</t>
  </si>
  <si>
    <t>DynamoDB is a NoSQL Database that scales automatically, is highly available, and can be used when you do not need complex joins or complex transactions.</t>
  </si>
  <si>
    <t>Which Amazon Glacier retrieval option can you use to urgently request a small subset of your archives?</t>
  </si>
  <si>
    <t>Expedited retrievals allow you to quickly access your data when occasional urgent requests for a subset of archives are required.</t>
  </si>
  <si>
    <t>Turbo</t>
  </si>
  <si>
    <t>Fast</t>
  </si>
  <si>
    <t>Bulk</t>
  </si>
  <si>
    <t>Expedited</t>
  </si>
  <si>
    <t>By limiting access to the Bastion host from your corporate IP Address, you further protect the instance from malicious attacks from anywhere else. You cannot place a Bastion Host in the Private subnet with a Public IP address as that configuration will not work. SSH traffic is applicable for Linux based instances only, and setting up a Direct Connect is a bit of overkill.</t>
  </si>
  <si>
    <t>Deploy the Bastion Host in the Private Subnet and configure it with an Elastic IP Address and a Security Group to accept incoming RDP traffic from only your corporate IP Address</t>
  </si>
  <si>
    <t>Configure the Bastion Host to accept only incoming SSH traffic.  Disable RDP access to the Bastion host</t>
  </si>
  <si>
    <t>Configure the Bastion Host in the Public Subnet with an Elastic IP and a Security Group to accept incoming RDP traffic from only your corporate IP Address</t>
  </si>
  <si>
    <t>Set up a Direct Connect Link between your office and the client’s VPC</t>
  </si>
  <si>
    <t>Which of the following services further increases your EC2 Instances costs? (Choose 2 answers)</t>
  </si>
  <si>
    <t>Detailed monitoring and use of Elastic Load Balancers will increase your EC2 Instances costs.</t>
  </si>
  <si>
    <t>Use of Elastic Load Balancers</t>
  </si>
  <si>
    <t>DynamoDB Tables that you query</t>
  </si>
  <si>
    <t>S3 Buckets that you connect to</t>
  </si>
  <si>
    <t>Detailed Monitoring</t>
  </si>
  <si>
    <t>You wish to deploy an accounting application server that needs to be available Monday to Friday between 8AM and 7PM.  The Accounts team do not need access during weekends on a regular basis, but may request access only during the end of year processes.  Which EC2 Pricing Option is suitable for this scenario?</t>
  </si>
  <si>
    <t>You can turn off an On-Demand Instance without losing data and start it up again whenever you want.</t>
  </si>
  <si>
    <t>Spot Instances</t>
  </si>
  <si>
    <t>What does the phrase ‘S3 uses a unique namespace’ mean?</t>
  </si>
  <si>
    <t>With Amazon Simple Storage Service (Amazon S3), bucket names must be unique on the Amazon S3 platform and thus on the Internet.</t>
  </si>
  <si>
    <t>S3 requires you to ensure that the server has a unique public IP Address</t>
  </si>
  <si>
    <t>Your bucket names must be unique in the region you host them.</t>
  </si>
  <si>
    <t>S3 requires you to purchase a domain name</t>
  </si>
  <si>
    <t>Your bucket names must be unique on the Amazon platform and Internet</t>
  </si>
  <si>
    <t>You have a requirement to design and deploy a NoSQL database that will be used for a mobile application. Which AWS database service runs on NoSQL?</t>
  </si>
  <si>
    <t>DynamoDB is a NoSQL database</t>
  </si>
  <si>
    <t>DBEngine</t>
  </si>
  <si>
    <t>Which IAM service can you use to grant temporary credentials to an AWS service with the necessary permissions?</t>
  </si>
  <si>
    <t>IAM Roles enables you to grant permission to access other AWS services using a temporary set of credentials hence you do not need to store long term Access Key ID and Secret Access Keys. IAM roles are not associated with a specific user or group. Instead, trusted entities assume roles, such as IAM users, applications, or AWS services such as EC2.</t>
  </si>
  <si>
    <t>IAM Access Key ID and Secret Access Keys</t>
  </si>
  <si>
    <t>Which AWS Calculator can be used to compare your on-premises IT Infrastructure Costs with the Amazon AWS to determine the difference in costing between the two?</t>
  </si>
  <si>
    <t>The AWS Total Cost of Ownership (TCO) Calculator can help you compare your on-premises IT Infrastructure costs with AWS</t>
  </si>
  <si>
    <t>AWS Total Cost of Ownership Calculator</t>
  </si>
  <si>
    <t>Which AWS S3 Storage Class monitors your usage patterns and automatically moves data on a granular object level between two access tiers, a frequent access tier and a lower-cost infrequent access tier?</t>
  </si>
  <si>
    <t>S3 INTELLIGENT_TIERING delivers automatic cost savings by moving data on a granular object level between two access tiers, a frequent access tier and a lower-cost infrequent access tier, when access patterns change.</t>
  </si>
  <si>
    <t>SE INTELLIGENT_TIERING</t>
  </si>
  <si>
    <t>S3 ONEZONE_IA</t>
  </si>
  <si>
    <t>S3 STANDARD</t>
  </si>
  <si>
    <t>S3 STANDARD_IA</t>
  </si>
  <si>
    <t>Which S3 service can you use to replicate objects in a bucket in one region to a bucket in another region?</t>
  </si>
  <si>
    <t>You can use Cross-Region Replication to replicate the contents of a bucket from one region to another</t>
  </si>
  <si>
    <t>Cross-Region Replication</t>
  </si>
  <si>
    <t>Cross-Zone Replication</t>
  </si>
  <si>
    <t>Multi-Region Replication</t>
  </si>
  <si>
    <t>Cross-Border Replication</t>
  </si>
  <si>
    <t>Which tool in Amazon IAM can you use to configure company-wide password rules such as complexity level, number of passwords to remember and length of password?</t>
  </si>
  <si>
    <t>You can create password Policy in Account Settings to configure your IAM Account password Policies</t>
  </si>
  <si>
    <t>Password Policy</t>
  </si>
  <si>
    <t>Password Complex Generator</t>
  </si>
  <si>
    <t>IAM password Settings</t>
  </si>
  <si>
    <t>Password Rules</t>
  </si>
  <si>
    <t>How many EC2 Instances can you deploy in your AWS account per instance type by default?</t>
  </si>
  <si>
    <t>By default, you can deploy up to 20 EC2 Instances</t>
  </si>
  <si>
    <t>When configuring new IAM Users, which two Access Types are available on the AWS Management Console? (Choose 2 answers)</t>
  </si>
  <si>
    <t>You can configure the IAM user with Programmatic Access and AWS Management Console access</t>
  </si>
  <si>
    <t>Remote Access</t>
  </si>
  <si>
    <t>AWS Management Console access</t>
  </si>
  <si>
    <t>Direct Access</t>
  </si>
  <si>
    <t>Programmatic Access</t>
  </si>
  <si>
    <t>You have developed a new professional network application that enables users to sign up and interact with fellow professionals and build a network, much like the social platforms available online today.  You have also recently migrated to Amazon AWS.  You have configured an Auto Scaling Group to launch instances based on load.  You currently have 20 EC2 Instances launched, spread across two availability zones.  Your CloudWatch alarms have triggered again, but no more instances have been launched.  What could be preventing the launch of further EC2 instance?</t>
  </si>
  <si>
    <t>By default, you can only launch up to 20 instances per AWS account. If you need to launch more, you have to place a request with Amazon to increase your limits.</t>
  </si>
  <si>
    <t>When using Auto Scaling, you need to be aware of soft and hard limits.  By default, you can only launch up to 20 instances per AWS account.  If you need to launch more, place a request with Amazon to increase your limits.</t>
  </si>
  <si>
    <t>Your ELB’s have been configured to only send traffic to 10 instances per availability zone and Auto Scaling is not getting alerted to the increase in traffic to trigger additional launches</t>
  </si>
  <si>
    <t>You have reached your Billing threshold and need to request an upgrade on your account with AWS</t>
  </si>
  <si>
    <t>You need to configure an additional Availability Zone as part of your Auto Scaling Configuration</t>
  </si>
  <si>
    <t>Which AWS service allows you to run code without having to worry about provisioning any underlying resources such as servers or databases and can be used to respond to event triggers such as performing a certain function when uploading objects to an S3 Bucket?</t>
  </si>
  <si>
    <t>Lambda will provision and utilize all infrastructure as a backend process, and you only need to provide the code to execute. You are charged on an execution basis. Ref: https://iaasacademy.com/aws-lambda/aws-lambda-exam-tips/</t>
  </si>
  <si>
    <t>EKB</t>
  </si>
  <si>
    <t>A CloudFront Origin can be an S3 Bucket or an EC2 Instance (True or false)</t>
  </si>
  <si>
    <t>CloudFront Origin can be an S3 Bucket, EC2 or ELB</t>
  </si>
  <si>
    <t>Which EC2 Instances are now billed on a per second basis?</t>
  </si>
  <si>
    <t>Linux-based instances are now billed on a per second basis.</t>
  </si>
  <si>
    <t>Windows EC2 Instances</t>
  </si>
  <si>
    <t>Amazon Linux EC2 Instances &amp; Ubuntu</t>
  </si>
  <si>
    <t>Unix EC2 Instances</t>
  </si>
  <si>
    <t>Mac EC2 Instances</t>
  </si>
  <si>
    <t>You are designing your web services infrastructure which requires you to deploy an Elastic Load Balancer to serve traffic to your fleet of EC2 Instances.  The enterprise web application running on your web servers requires your listener to be configured with rules to forward requests based on the URL path. This is because you need to direct standard traffic to one path, but traffic to access all images and other media content to another path.  What type of Elastic Load Balancer do you need to configure?</t>
  </si>
  <si>
    <t>You should configure an Application Load Balancer to create a listener with rules to forward requests based on the URL paths. This is known as path-based routing.</t>
  </si>
  <si>
    <t>Advanced Load Balancer</t>
  </si>
  <si>
    <t>Application Load Balancer</t>
  </si>
  <si>
    <t>Classic Elastic Load Balancer</t>
  </si>
  <si>
    <t>Network Load Balancer</t>
  </si>
  <si>
    <t>You have utilized tagging as a way of identifying resources deployed on your AWS account.  You wish to consolidate all resources so that you can identify resources that belong to a specific tag.  Which service can you use to do this task?</t>
  </si>
  <si>
    <t>Resource Tags allow you to group resources using the tags assigned to them.</t>
  </si>
  <si>
    <t>Shortcuts</t>
  </si>
  <si>
    <t>Tag Groups</t>
  </si>
  <si>
    <t>Store the tags in RDS and run queris</t>
  </si>
  <si>
    <t>Resource Groups</t>
  </si>
  <si>
    <t>Which of the following are the three factors which increase agility by moving to AWS?</t>
  </si>
  <si>
    <t>By deploying your workloads on AWS, you can implement new solutions in a matter of minutes. AWS Infrastructure is built around Regions and Availability zones. Within a region, you can distribute your workloads across availability zones to offer high availability in case one availability zone fails. Regions enable you to get your applications closer to your customer thereby reducing latency and also offer failover capabilities across regions. AWS services enable you to experiment in sandbox environments by isolating your test/dev workloads from production environments. This further enables you to work with cutting edge technologies to help you innovate new solutions for your customers without having to procure new technologies and avoid making huge upfront capital investments.</t>
  </si>
  <si>
    <t>Opportunity to innovate</t>
  </si>
  <si>
    <t>Speed of Implementation and Deployment</t>
  </si>
  <si>
    <t>Avoid experimentation by restricting access via policy</t>
  </si>
  <si>
    <t>Ability to experiment</t>
  </si>
  <si>
    <t>Ability to co-locate physical infrastructure in AWS</t>
  </si>
  <si>
    <t>Which feature of IAM can you create to allow existing users from your corporate Identity service to access your AWS service without the need to create specific IAM identities?</t>
  </si>
  <si>
    <t>AWS IAM Identify Federation enables you to use third-party identity providers to authenticate to your AWS Account. This feature is used to enable users to sign into the AWS Management Console or make programmatic calls to AWS APIs by using assertions from a SAML-compliant identity provider (IdP) like Microsoft Active Directory Federation Services (ADFS). Ref: https://iaasacademy.com/aws-certified-solutions-architect-associate-exam/aws-iam-identity-federation-exam-tips</t>
  </si>
  <si>
    <t>IAM Cognito</t>
  </si>
  <si>
    <t>IAM Federation</t>
  </si>
  <si>
    <t>IAM Cross Identity Service</t>
  </si>
  <si>
    <t>IAM Corporate Connect</t>
  </si>
  <si>
    <t>Which AWS Services enables you to debug distributed applications to troubleshoot the root cause of performance issues and errors?</t>
  </si>
  <si>
    <t>AWS X-Ray enables you to analyze and debug distributed applications in and understand how your application and its underlying services are performing. You can then identify and troubleshoot the root cause of performance issues and errors</t>
  </si>
  <si>
    <t>AWS Gama-Ray</t>
  </si>
  <si>
    <t>AWS X-Ray</t>
  </si>
  <si>
    <t>Which AWS Service is used to turn on Multi-Factor Authentication for users?</t>
  </si>
  <si>
    <t>You turn on MFA using Amazon IAM</t>
  </si>
  <si>
    <t xml:space="preserve">Security  </t>
  </si>
  <si>
    <t xml:space="preserve">EC2  </t>
  </si>
  <si>
    <t>SQS</t>
  </si>
  <si>
    <t>Which type of cloud computing model enables you to design the building blocks for your virtual infrastructure in the cloud, comprising physical/virtual servers, storage, and networking?</t>
  </si>
  <si>
    <t>Infrastructure as a Service (IaaS) enables you to design the basic building blocks for your IT requirements and comprises networking features, computers (virtual or physical) and data storage.</t>
  </si>
  <si>
    <t>PaaS</t>
  </si>
  <si>
    <t>DaaS</t>
  </si>
  <si>
    <t>SaaS</t>
  </si>
  <si>
    <t>IaaS</t>
  </si>
  <si>
    <t>You have multiple AWS Accounts and additional unused reserved instances in the main production account.  You have deployed On-Demand instances in the Test &amp; Dev Account.  How can you reduce your total EC2 costs?  (Choose 2 answers)</t>
  </si>
  <si>
    <t>You can use AWS Organizations to link all your accounts, and then use Consolidated Billing to utilize unused RI price with Instances of the same type in other accounts.</t>
  </si>
  <si>
    <t>Replace the On-Demand for RI</t>
  </si>
  <si>
    <t>Create AWS Organizations</t>
  </si>
  <si>
    <t>Convert all Instances to Spot</t>
  </si>
  <si>
    <t>Set up Consolidated Billing to link Accounts</t>
  </si>
  <si>
    <t>You would like to know who terminated one of your EC2 Instances using API calls.  Which AWS Service can you use to determine this?</t>
  </si>
  <si>
    <t>CloudTrail is used as an auditing tool to help you determine who performed what action on your AWS account</t>
  </si>
  <si>
    <t>CloudCatch</t>
  </si>
  <si>
    <t>CloudMonitor</t>
  </si>
  <si>
    <t>Your company runs a website which streams Adobe Flash media content to its visitors.  These are educational how-to-guides for DIY enthusiasts and you have a global audience accessing your website daily.  You wish to utilize Amazon CloudFront to deliver content that caches media at different edge locations to help reduce latency.  Which distribution mechanism should you use?</t>
  </si>
  <si>
    <t>RTMP can stream media files using Adobe Media Server via the Adobe Real-Time Messaging Protocol (RTMP)</t>
  </si>
  <si>
    <t>Multicast</t>
  </si>
  <si>
    <t>Real Time Messaging Protocol (RTM)</t>
  </si>
  <si>
    <t>Web Distribution</t>
  </si>
  <si>
    <t>Which tools enable you to create IAM policies? (Choose 3 answers)</t>
  </si>
  <si>
    <t>You can use the Visual Editor, Import and Modify an existing Managed Policy or JSON Scripting</t>
  </si>
  <si>
    <t>Import a Managed Policy</t>
  </si>
  <si>
    <t>JAVA Scripting</t>
  </si>
  <si>
    <t>Visual Editor</t>
  </si>
  <si>
    <t>JSON Scripting</t>
  </si>
  <si>
    <t>Policy Creator</t>
  </si>
  <si>
    <t>AWS Full Trusted Advisor is only available for Business and Enterprise Customers. (True or false)</t>
  </si>
  <si>
    <t>You get basic Trusted Advisor for all accounts, but the full Trusted Advisor is for Business and Enterprise Customers Only</t>
  </si>
  <si>
    <t>You wish to identify unnecessary permissions so that you can refine your IAM policies to better adhere to the principle of least privileges for your list of IAM users.  Which IAM feature can you use to help you with this task?</t>
  </si>
  <si>
    <t>Access Advisor is a feature available on the IAM console details page which you can use to identify which services are actually used by a user, group or role.</t>
  </si>
  <si>
    <t>Rights Advisor</t>
  </si>
  <si>
    <t>Access Advisor</t>
  </si>
  <si>
    <t>Role Advisor</t>
  </si>
  <si>
    <t>Permission Advisor</t>
  </si>
  <si>
    <t>Which AWS Service enables you to develop computer vision applications based on a deep learning model and AI?</t>
  </si>
  <si>
    <t>AWS DeepLens is a wireless-enabled video camera and development platform integrated with the AWS Cloud. It lets you use the latest Artificial Intelligence (AI) tools and technology to develop computer vision applications based on a deep learning model.</t>
  </si>
  <si>
    <t>AWS DeepLens</t>
  </si>
  <si>
    <t>AWS Robo</t>
  </si>
  <si>
    <t>AWS Snowball</t>
  </si>
  <si>
    <t>AWS Video</t>
  </si>
  <si>
    <t>What is the maximum file size that you can store in Amazon S3?</t>
  </si>
  <si>
    <t>The maximum individual file size is 5TB</t>
  </si>
  <si>
    <t>50GB</t>
  </si>
  <si>
    <t>5TB</t>
  </si>
  <si>
    <t>5GB</t>
  </si>
  <si>
    <t>You have recently migrated a core patient database into the AWS cloud.  As part of the migration strategy, you have implemented several security measures to remain HIPAA compliant. Recently you have noted increased I/O activity and excess read traffic on your database.
You want to reduce the dependency on the single database and improve I/O performance which includes reducing the read traffic. Which AWS database configuration can you implement to help you achieve this objective?</t>
  </si>
  <si>
    <t>Read Replicas enable you to use built-in replication functionality to elastically scale out beyond the capacity constraints of a single DB Instance for read-heavy database workloads. Each read copy will have its own endpoint and you can redirect some traffic to the read replicas instead of the primary database to help reduce the excess read traffic.</t>
  </si>
  <si>
    <t>use Auto-scaling to deploy multiple instances of the database</t>
  </si>
  <si>
    <t>Deploy in Multi-AZ</t>
  </si>
  <si>
    <t>Configure Read/Write Replicas</t>
  </si>
  <si>
    <t>Which of the following AWS network related feature enables you to connect your on-premises datacenter to your AWS VPC?</t>
  </si>
  <si>
    <t>You can establish a site-to-site VPN tunnel using support hardware and/or software VPN technology solutions between your on-premises datacenter and the AWS VPC you build out in your AWS account. This gives you access from your datacenter into the VPC using Private IP Addressing with added security of transmitting data over an IPSEC VPN Tunnel Ref: https://iaasacademy.com/aws-certified-solutions-architect-associate-exam/amazon-vpc-an-introduction/</t>
  </si>
  <si>
    <t>IPSEC VPN</t>
  </si>
  <si>
    <t>Storage Gareway</t>
  </si>
  <si>
    <t>FastNet</t>
  </si>
  <si>
    <t>Which of the following are examples of Amazon AWS Certifications and Attestations for Compliance? (Choose 3 answers)</t>
  </si>
  <si>
    <t>ISO 27001, PCI DSS Level 1 and SOC 3 are examples of AWS Compliance Certifications</t>
  </si>
  <si>
    <t>XIP</t>
  </si>
  <si>
    <t>PCI DSS Level1</t>
  </si>
  <si>
    <t>SOC 3</t>
  </si>
  <si>
    <t>VIP</t>
  </si>
  <si>
    <t>You work for a high profile organization that runs applications and stores sensitive data in a VPC in the AWS Cloud.  You need an encryption service that will enable you to generate, store and manage your encryption keys, and one which is FIPS 140-2 Level 3 complaint
Which AWS service can you use for this?</t>
  </si>
  <si>
    <t>AWS CloudHSM enables you to generate and use your encryption keys on a FIPS 140-2 Level 3 compliant HSM. CloudHSM protects your keys with exclusive, single-tenant access to tamper-resistant HSMs in your own Amazon Virtual Private Cloud (VPC). Ref: https://iaasacademy.com/aws-certified-solutions-architect-associate-exam/amazon-cloud-hardware-security-module-hsm-exam-hints/</t>
  </si>
  <si>
    <t>An on premise CA</t>
  </si>
  <si>
    <t xml:space="preserve">CloudCA </t>
  </si>
  <si>
    <t>CloudHSM</t>
  </si>
  <si>
    <t>AWS SSE-C</t>
  </si>
  <si>
    <t>Which AWS Service can be attached to your EC2 Instances and used as a virtual disk?</t>
  </si>
  <si>
    <t>Elastic Block Storage (EBS) can be attached to your EC2 Instances as a virtual disk.</t>
  </si>
  <si>
    <t>SBS</t>
  </si>
  <si>
    <t>Which of the following actions are performed when an Elastic Load Balancer detects a failed instance in the pool of instances it normally routes traffic to?</t>
  </si>
  <si>
    <t>The Load Balancer will stop sending traffic to a failed instance</t>
  </si>
  <si>
    <t>The Load Balancer will stop sending traffic to that instance</t>
  </si>
  <si>
    <t>The Load Balancer will launch a new instance to replace the failed one</t>
  </si>
  <si>
    <t>The Load Balancer will send a CloudWatch trigger to terminate that instance</t>
  </si>
  <si>
    <t>The Load Balancer will stop sending traffic altogether until you replace the instance</t>
  </si>
  <si>
    <t>Which AWS Service offers you basic free DDOS protection?</t>
  </si>
  <si>
    <t>AWS Shield offers you DDOS protection and comes as both basic and advance levels.</t>
  </si>
  <si>
    <t>AWS NAT</t>
  </si>
  <si>
    <t>AWS Protect</t>
  </si>
  <si>
    <t>Which of the following services in a VPC grants you Internet Access for the VPC?</t>
  </si>
  <si>
    <t>Internet Gateway (IGW) gives you access to the Internet for a VPC</t>
  </si>
  <si>
    <t>EGW</t>
  </si>
  <si>
    <t>IGW</t>
  </si>
  <si>
    <t>NAT</t>
  </si>
  <si>
    <t>NAT-T</t>
  </si>
  <si>
    <t>What is an Amazon AWS Root Account?</t>
  </si>
  <si>
    <t>The AWS Root Account is essentially the enterprise administrator for your AWS Account. You cannot take away any of admin level privileges associated with this account.</t>
  </si>
  <si>
    <t>The account used to configure Linux EC2 Instances</t>
  </si>
  <si>
    <t>The account used to create Route Tables in an Amazon VPC</t>
  </si>
  <si>
    <t>The most restrictive account used to allow guests to log onto to your AWS Console</t>
  </si>
  <si>
    <t>The primary administrator for your AWS Account and is also known as the owner</t>
  </si>
  <si>
    <t>In order to meet ITSM and Compliance you decide to use the AWS Service Catalog service to ensure your IT teams can only launch preapproved products.  What AWS service can you use to build a new product comprising of a Linux EC2 Instance and ensure that your users can only choose specific instance type during the launch?</t>
  </si>
  <si>
    <t>When using AWS Service Catalog to create and manage catalogs of IT services that are approved for use on AWS and to make available EC2 instances, storage volumes, databases, monitoring configurations, and networking components for deployment, you need to create an AWS CloudFormation template. AWS CloudFormation templates define the AWS resources required for the product, the relationships between resources, and the parameters that end users can plug in when they launch the product to configure security groups, create key pairs, and perform other customizations.</t>
  </si>
  <si>
    <t>OpsWorks</t>
  </si>
  <si>
    <t>ElasticStacks</t>
  </si>
  <si>
    <t>Which AWS Service can you use to identify the celebrities in the videos uploaded on your social networking platform?</t>
  </si>
  <si>
    <t>Amazon Rekognition can identify the objects, people, text, scenes, and activities, as well as detect any inappropriate content. Here is a quick link to learn about Amazon Rekognition - https://iaasacademy.com/aws-certified-cloud-practitioner/understanding-the-amazon-rekognition-service/</t>
  </si>
  <si>
    <t>Amazon Video Analyzer</t>
  </si>
  <si>
    <t>Amazon SWF</t>
  </si>
  <si>
    <t>Amazon Elastic Transcoder</t>
  </si>
  <si>
    <t>Which component of an Elastic Load Balancer do you need to configure to ensure you accept traffic on a designated port and forward that traffic on a specific port to your EC2 Instances behind the Load Balancer?</t>
  </si>
  <si>
    <t>You need to configure Listeners to specific ports that you will accept incoming traffic on and the ports you will use to forward traffic onto the EC2 Instances</t>
  </si>
  <si>
    <t xml:space="preserve">NAT </t>
  </si>
  <si>
    <t>Echo</t>
  </si>
  <si>
    <t>Listener</t>
  </si>
  <si>
    <t>Port Forwarder</t>
  </si>
  <si>
    <t>You have set up a load balancer in front of multiple web servers in the London Region. You have been provided with the DNS names of the load balancer, but you have not been given the IP Address to create the necessary 'A' record for you to point your zone apex name, e.g. company.com to resolve to your website.
As best practice, which record should you create to enable your zone apex name to resolve to your load balancer DNS name?</t>
  </si>
  <si>
    <t>Alias Records are similar to CNAME records that can map one DNS name www.example.com to another. However, Alias records are special in that unlike CNAME records, you can map an Alias record to a Zone Apex, e.g. company.com, i.e. without the host name like 'www'. You cannot do the same with a CNAME record.</t>
  </si>
  <si>
    <t>Use an SRV Record</t>
  </si>
  <si>
    <t>Use a Txt Record</t>
  </si>
  <si>
    <t>Use an Alias Record</t>
  </si>
  <si>
    <t>Use a CNAME Record</t>
  </si>
  <si>
    <t>Which of the following attributes of Amazon AWS are examples of the cloud computing difference?  (Choose 2 answers)</t>
  </si>
  <si>
    <t>You can convert your infrastructure design into code which can be used for repeat deployment, avoiding the dreaded 'Configuration Drift'. You also have access to global availability of services across global regions and almost unlimited capacity</t>
  </si>
  <si>
    <t>Ability to rent racks at the regional datacentres</t>
  </si>
  <si>
    <t>Global availability and unlimited capacity</t>
  </si>
  <si>
    <t>The ability to create templates of your infrastructure by converting into code for repeat deployment</t>
  </si>
  <si>
    <t>Ability to choose which hardware equipment is used to build your VPC</t>
  </si>
  <si>
    <t>Which S3 storage class would you recommend for hosting data that is quickly accessible but infrequently accessed and can also be re-created if required hence offers even cheaper storage costs?</t>
  </si>
  <si>
    <t>S3 One Zone-IA is intended for use cases with infrequently accessed data that is re-creatable, such as storing secondary backup copies of on-premises data or for storage that is already replicated in another AWS Region for compliance or disaster recovery purposes. With S3 One Zone-IA, customers can now store infrequently accessed data within a single Availability Zone at 20% lower cost than S3 Standard-IA.</t>
  </si>
  <si>
    <t>S3 Standard</t>
  </si>
  <si>
    <t>S3 One Zone IA</t>
  </si>
  <si>
    <t>S3 Infrequent Access (IA)</t>
  </si>
  <si>
    <t>Which AWS service enables you to transcode media files into multiple different formats?</t>
  </si>
  <si>
    <t>Amazon Elastic Transcoder is media transcoding in the cloud. It is designed to be a highly scalable, easy to use and a cost effective way for developers and businesses to convert (or “transcode”) media files from their source format into versions that will playback on devices like smartphones, tablets and PCs.</t>
  </si>
  <si>
    <t>Elastic Media</t>
  </si>
  <si>
    <t>Elastic Transcoder</t>
  </si>
  <si>
    <t>Elastic Encoder</t>
  </si>
  <si>
    <t>Your company manages a fleet of Windows EC2 instances in a VPC (Public/Private Subnet Configuration) for a client. Your team is connecting to the VPC over the Internet to manage the fleet of Amazon EC2 instances running in both the public and private subnets. You have not yet gotten the approval to configure a site-to-site VPN tunnel from your offices to the client’s VPC. 
You have added a bastion host with Microsoft Remote Desktop Protocol (RDP) access to the application instance in the private subnet, but the client wants to further limit administrative access to all of the instances in the VPC. 
Which of the following bastion host deployment options will meet this requirement?</t>
  </si>
  <si>
    <t>Which AWS service can be used to store files? Select 2</t>
  </si>
  <si>
    <t>Amazon S3</t>
  </si>
  <si>
    <t>Amazon Elastic Block Store</t>
  </si>
  <si>
    <t>Amazon Athena</t>
  </si>
  <si>
    <t>Which of the following services uses AWS edge locations?</t>
  </si>
  <si>
    <t xml:space="preserve"> </t>
  </si>
  <si>
    <t>Amazon Virtual Private Cloud</t>
  </si>
  <si>
    <t>Amazon CloudFront</t>
  </si>
  <si>
    <t xml:space="preserve">Amazon Elastic Compute Cloud </t>
  </si>
  <si>
    <t>AWS Storage gateway</t>
  </si>
  <si>
    <t>Which of the following is a benefit of EC2 over physical servers?</t>
  </si>
  <si>
    <t>Automated backup</t>
  </si>
  <si>
    <t>Paying only for what you use</t>
  </si>
  <si>
    <t>The  ability to choose hardware vendors</t>
  </si>
  <si>
    <t>Root/administrator access</t>
  </si>
  <si>
    <t>Which AWS service provides infrastructure secure optimization recomendation?</t>
  </si>
  <si>
    <t>AWS Price List Applicatino Programing Interface (API)</t>
  </si>
  <si>
    <t>Amazon EC2 Spot Fleet</t>
  </si>
  <si>
    <t>Which service allows for the collection and tracking of metrics for AWS services?</t>
  </si>
  <si>
    <t>Amazon CloudCearch</t>
  </si>
  <si>
    <t>Amazon Machine Learning</t>
  </si>
  <si>
    <t>A company needs to know which user was responsible for terminating several critical Amazon Elastic Compute cloud Instances.Where can the customer find this information?</t>
  </si>
  <si>
    <t>Amazon EC2 instance usage report</t>
  </si>
  <si>
    <t>AWS Cloud Trail logs</t>
  </si>
  <si>
    <t>Which service should an administrator use to register a ner domain name with AWS</t>
  </si>
  <si>
    <t>Amazon Route 53</t>
  </si>
  <si>
    <t>Amazon Cloud Front</t>
  </si>
  <si>
    <t>Elastic Load Balancing</t>
  </si>
  <si>
    <t>What is the value of having AWS Cloud services accesible through an API</t>
  </si>
  <si>
    <t>Cloud resources can be managed programmatically</t>
  </si>
  <si>
    <t>AWS infrastructure use will always be cost optimized</t>
  </si>
  <si>
    <t>All application testing is managed by AWS</t>
  </si>
  <si>
    <t>Customer owned on-premises infrastructure becomes programable</t>
  </si>
  <si>
    <t>Which of the following examples supports the cloud design principle "design for failure and nothing will fail"</t>
  </si>
  <si>
    <t>Adding an elastic load balancer in fron of a single EC2 instance</t>
  </si>
  <si>
    <t>Creating and deploying the most cost effective solution</t>
  </si>
  <si>
    <t>Deploying an application in multiple Availability Zones</t>
  </si>
  <si>
    <t>Using Amazon CloudWatch alerts to monitor performance</t>
  </si>
  <si>
    <t>Which services  allows an administrator to create and modify AWS user permissions</t>
  </si>
  <si>
    <t>AWS Confid</t>
  </si>
  <si>
    <t>AWS Cloud Trail</t>
  </si>
  <si>
    <t>AWS Key management service</t>
  </si>
  <si>
    <t>AWS Identity and Access Management (IAM)</t>
  </si>
  <si>
    <t>Which AWS service automates infrastructura provisioning and administrative tasks for an analytical data ware house?</t>
  </si>
  <si>
    <t>Amazon Redshift</t>
  </si>
  <si>
    <t>Amazon DynamoDB</t>
  </si>
  <si>
    <t>Amazon ElastiCache</t>
  </si>
  <si>
    <t>Amazon Aurora</t>
  </si>
  <si>
    <t>Which of the following is the responsibility of the AWS customer according to the Shared Security Model</t>
  </si>
  <si>
    <t>Managing AWS Identity and Access Management (IAM)</t>
  </si>
  <si>
    <t>Securing edge locations</t>
  </si>
  <si>
    <t>Monitoring physical device security</t>
  </si>
  <si>
    <t>Implementing service organization Control (SOC) standards</t>
  </si>
  <si>
    <t>Where can a customer go to get more detail about EC2 billing activity that took place 3 months ago</t>
  </si>
  <si>
    <t>Amazon EC2 dashboard</t>
  </si>
  <si>
    <t>AWS Cost and Usage reports</t>
  </si>
  <si>
    <t>AWS Trusted Advisor dashboard</t>
  </si>
  <si>
    <t>AWS Cloud Trail logs stored in Amazon S3</t>
  </si>
  <si>
    <t>Who has control of the data in an AWS Account?</t>
  </si>
  <si>
    <t>AWS Support Team</t>
  </si>
  <si>
    <t>AWS Account Owner</t>
  </si>
  <si>
    <t>AWS Security Team</t>
  </si>
  <si>
    <t>AWS Technical Account Manager (TAM)</t>
  </si>
  <si>
    <t>The main benefit of decoupling an application is to</t>
  </si>
  <si>
    <t>Create a tighly integrated application</t>
  </si>
  <si>
    <t>Reduce inter-dependencies so failures do not impact other components</t>
  </si>
  <si>
    <t>Enable data synchronization across the web application layer</t>
  </si>
  <si>
    <t>Have the ability to execute automated boostrapping actions</t>
  </si>
  <si>
    <t>Which of the following is a benefit of running an applicatin across two availability zones</t>
  </si>
  <si>
    <t>Performance is improved over running in a single AZ</t>
  </si>
  <si>
    <t>It is more secure than running in a single AZ</t>
  </si>
  <si>
    <t>It significantle reduces the total cost of ownership vs running in a single AZ</t>
  </si>
  <si>
    <t>It increases the availability of an application compared to running in a single AZ</t>
  </si>
  <si>
    <t>Which of the following security requirements are managed by AWS Customers? Select 2</t>
  </si>
  <si>
    <t xml:space="preserve">a </t>
  </si>
  <si>
    <t>Password Policies</t>
  </si>
  <si>
    <t xml:space="preserve">User permissions </t>
  </si>
  <si>
    <t>Physical security</t>
  </si>
  <si>
    <t>Disk disposal</t>
  </si>
  <si>
    <t>Hardwate patching</t>
  </si>
  <si>
    <t>Systems applying the cloud architecture principle of elasticicy will:</t>
  </si>
  <si>
    <t>Minimize storage requirements by reducing logging and auditing activities</t>
  </si>
  <si>
    <t>Create systems that scale to the required capacity based on changes in demand</t>
  </si>
  <si>
    <t>Enable AWS to automatically select the most cost-effective services</t>
  </si>
  <si>
    <t>Accelerate the design process because recovery from failiure is automated, reducing the need for testing</t>
  </si>
  <si>
    <t>Amazon EC2 Spot instances are appropriate for which of the following workloads</t>
  </si>
  <si>
    <t>Workloads that are only run in the morning and stopped at night</t>
  </si>
  <si>
    <t>Workloads where the availability of the mazon EC2 can be flexible</t>
  </si>
  <si>
    <t>Workloads that need to run for long periods of time without interruption</t>
  </si>
  <si>
    <t>Workloads that are critical and need Amazon EC2 instances with terminatino protection</t>
  </si>
  <si>
    <t>What AWS feature enables a user to manage services through a web based user interface?</t>
  </si>
  <si>
    <t>AWS Manaement Console</t>
  </si>
  <si>
    <t>AWS Application Programming Interface (API)</t>
  </si>
  <si>
    <t>AWS Software Development Kit (SDK)</t>
  </si>
  <si>
    <t>Which tool can display the distribution of AWS spending?</t>
  </si>
  <si>
    <t>AWS organizations</t>
  </si>
  <si>
    <t>Amazon Dev Pay</t>
  </si>
  <si>
    <t>AWS Cost Explorer</t>
  </si>
  <si>
    <t>How can the AWS Management Console be secure against unauthorized acces?</t>
  </si>
  <si>
    <t>Apply Multi Factor Authentication (MFA)</t>
  </si>
  <si>
    <t>Set up a secondary password</t>
  </si>
  <si>
    <t>Request root access priviledges</t>
  </si>
  <si>
    <t>Disable AWS console access</t>
  </si>
  <si>
    <t>Which AWS cloud service is used to turn on Multi Factor Authentication?</t>
  </si>
  <si>
    <t>Amazon EC2</t>
  </si>
  <si>
    <t>Amazon Ispector</t>
  </si>
  <si>
    <t>A disaster recovery startegy on AWS should be based on lauching infrastructure in a separate:</t>
  </si>
  <si>
    <t>subnet</t>
  </si>
  <si>
    <t>AWS Region</t>
  </si>
  <si>
    <t xml:space="preserve">AWS edge location </t>
  </si>
  <si>
    <t>Which of the following is a factor when calculating Total Cost of Ownership for the AWS Cloud?</t>
  </si>
  <si>
    <t>The number of servers migrated to AWS</t>
  </si>
  <si>
    <t>The number of users migrated to AWS</t>
  </si>
  <si>
    <t>The number of passwords migrated to AWS</t>
  </si>
  <si>
    <t>The number of keys migrated to AWS</t>
  </si>
  <si>
    <t>Which AWS service is used to as a global content delivery network service in AWS?</t>
  </si>
  <si>
    <t>Amazon SES</t>
  </si>
  <si>
    <t>Amazon CloudTrail</t>
  </si>
  <si>
    <t>Which of the following is a fully managed NoSQL database service available with AWS</t>
  </si>
  <si>
    <t>AWS RDS</t>
  </si>
  <si>
    <t>AWS DynamoDB</t>
  </si>
  <si>
    <t>AWS Redshift</t>
  </si>
  <si>
    <t>AWS MongoDB</t>
  </si>
  <si>
    <t>A company wants to store data that is not frequently accessed. What is the best and cost efficient solution that shoul de considered?</t>
  </si>
  <si>
    <t>Amazon Storage Gateway</t>
  </si>
  <si>
    <t>Amazon Glacier</t>
  </si>
  <si>
    <t>Amazon EBS</t>
  </si>
  <si>
    <t>You are currently hosting an infrastructure and most of the EC2 instances are near 90%-100% utilized. What is the type of EC2 instances you would utilized to ensure costs ara minimized?</t>
  </si>
  <si>
    <t>Reserved instances</t>
  </si>
  <si>
    <t>On-demand instances</t>
  </si>
  <si>
    <t>Spot instances</t>
  </si>
  <si>
    <t>Regular instances</t>
  </si>
  <si>
    <t>What is the ability provided by AWS to enable fast, easy, and secure transfers of files ober long distances between your client and your Amazon S3 bucket?</t>
  </si>
  <si>
    <t>File Transfer</t>
  </si>
  <si>
    <t>HTTP Transfer</t>
  </si>
  <si>
    <t>Transfer Acceleration</t>
  </si>
  <si>
    <t>S3 Acceleration</t>
  </si>
  <si>
    <t>As per AWS Acceptable Use Policy penetration testing of EC2 instances</t>
  </si>
  <si>
    <t>May be performed by AWS and will be performed by AWS upon customer request</t>
  </si>
  <si>
    <t>May be performed by AWS, and is periodically performed by AWS</t>
  </si>
  <si>
    <t>Are expressly prohibited under all circumstances</t>
  </si>
  <si>
    <t>May be performed by the customer on their own instances with prior authorization from AWS</t>
  </si>
  <si>
    <t>May be performed by the customer on their own instances, only if performed from EC2 instances</t>
  </si>
  <si>
    <t>The Trusted Advisor Service provides insight regarding which four categories of an AWS Account?</t>
  </si>
  <si>
    <t>Security, fault tolerance, high availability and connectivity</t>
  </si>
  <si>
    <t>Security, acces control, high availability, and performance</t>
  </si>
  <si>
    <t>Performance, cost optimization, security and fault tolerance</t>
  </si>
  <si>
    <t>Performance, cost optimization, access control and connectivity</t>
  </si>
  <si>
    <t>A company is deploying a two tier, highly available web application to AWS. Which service provides durable storage for static content while utilizing lower Overall CPU resources for the Web tier?</t>
  </si>
  <si>
    <t>Amazon EBS volume</t>
  </si>
  <si>
    <t>Amazon EC2 instance store</t>
  </si>
  <si>
    <t>Amazon RDS instance</t>
  </si>
  <si>
    <t>What best describes the "principal of Least Privilege"?</t>
  </si>
  <si>
    <t>All users should have the same base line permissions grantes to them to use basic AWS services</t>
  </si>
  <si>
    <t>D</t>
  </si>
  <si>
    <t>Users should be granted permission to access only resources they need to do their jor assigned job</t>
  </si>
  <si>
    <t>Users should submit all access requiest in written so that there is a paper trail of who needs access to different AWS resources</t>
  </si>
  <si>
    <t>Users should always have a little more access granted to them than they need, just in case they end up needed it in the future</t>
  </si>
  <si>
    <t>Which of the below mentioned services can be used to host virtual servers in the AWS Cloud</t>
  </si>
  <si>
    <t>AWS IAM</t>
  </si>
  <si>
    <t>AWS Server</t>
  </si>
  <si>
    <t>AWS EC2</t>
  </si>
  <si>
    <t>AWS Regions</t>
  </si>
  <si>
    <t>Which of the following can be used to protect EC2 Instances hosted in AWS. Choose 2</t>
  </si>
  <si>
    <t>Usage of Security Groups</t>
  </si>
  <si>
    <t>Usage of AMI's</t>
  </si>
  <si>
    <t>Usage of Network Acces Control Lists</t>
  </si>
  <si>
    <t>Usage of the Internet Gateway</t>
  </si>
  <si>
    <t>You work for a company that is planning using the AWS EC2 service. They currently create golden images of their deployed Operating System. Which of the following correspond to a golden image in AWS</t>
  </si>
  <si>
    <t>EBS Volumes</t>
  </si>
  <si>
    <t>Amazon Machines Images</t>
  </si>
  <si>
    <t>EC2 Copies</t>
  </si>
  <si>
    <t>You are developing and planning on deployment an application onto the AWS Cloud This application needs to be PCI Compliance. Which of the below wteps would you carry out to ensure the compliance is met for the application. Choose 2</t>
  </si>
  <si>
    <t>Choose AWS services which are PCI Compliant</t>
  </si>
  <si>
    <t>Ensure the right steps are taken furing application development for PCI compliance</t>
  </si>
  <si>
    <t>Ensure the AWS Services are made PCI Compliant</t>
  </si>
  <si>
    <t>Do an audit after the deploymen of the application for PCI Compliance</t>
  </si>
  <si>
    <t>Which of the below can be used to get data onto Amazon Glacier? Choose 3</t>
  </si>
  <si>
    <t>AWS Glacier API</t>
  </si>
  <si>
    <t>AWS Console</t>
  </si>
  <si>
    <t>AWS Glacier SDK</t>
  </si>
  <si>
    <t>AWS S3 Lifecycle policies</t>
  </si>
  <si>
    <t>Which of the following in the AWS Supprot plans gives acces to a Support Concierge</t>
  </si>
  <si>
    <t xml:space="preserve">Basic </t>
  </si>
  <si>
    <t>A company is planning to use AWS to host critical resources. Most of theis systems are business critical and need to have response time less than 15 minutes. Which of the following support plans should they consider</t>
  </si>
  <si>
    <t>Which of the following is NOT a feature of an edge loction do.</t>
  </si>
  <si>
    <t>Distribute content to users</t>
  </si>
  <si>
    <t>Cache common responses</t>
  </si>
  <si>
    <t>Distribute load accross multiple resources</t>
  </si>
  <si>
    <t>Used in conjunction with the Cloud front service</t>
  </si>
  <si>
    <t>There is a requirement for storage objects. The objects should be able to be downloaded via URL. Which storage option would you choose?</t>
  </si>
  <si>
    <t>There ir a requirement to host a data base server for a minimum period of one year. Which of the following would result in the least cost</t>
  </si>
  <si>
    <t>No Upfront costs Reserved</t>
  </si>
  <si>
    <t>Partial Upfront costs Reserved</t>
  </si>
  <si>
    <t>There is a requirement for a development and test environment for 3 months. Wich would you use?</t>
  </si>
  <si>
    <t>When creating security groups, which of the following is a responsability of the customer. Choose 2</t>
  </si>
  <si>
    <t>Giving a name and description for the security group</t>
  </si>
  <si>
    <t>Defining the rules as per the customer requirements</t>
  </si>
  <si>
    <t>Ensure the rules are applied immediately</t>
  </si>
  <si>
    <t>Ensure the security groups are linked to the Elastic Network Interface</t>
  </si>
  <si>
    <t>Which of the following are advantages of having infrastructure hosted on the AWS Cloud? Choose 2</t>
  </si>
  <si>
    <t>Having complete control over physical infrastructure</t>
  </si>
  <si>
    <t>Having the pay as you go model</t>
  </si>
  <si>
    <t>No Upfront costs</t>
  </si>
  <si>
    <t>Having no nees to worry about security</t>
  </si>
  <si>
    <t>There is an external audit being carried out on your company. The IT auditor needs to have a log of all access to the AWS resources in the company's account. Which of the below services can assist in providing these details?</t>
  </si>
  <si>
    <t>AWS CloudWatch</t>
  </si>
  <si>
    <t>AWS SNS</t>
  </si>
  <si>
    <t>Which of the following features of RDS allows for data redundacy accross regions</t>
  </si>
  <si>
    <t>Cross region replication</t>
  </si>
  <si>
    <t>Creating Read Replica's</t>
  </si>
  <si>
    <t>Using snapshots</t>
  </si>
  <si>
    <t>Using Multi AZ Feature</t>
  </si>
  <si>
    <t>Your company has a ser of EC2 Instances hosted in AWS. There is a requirement to create snapshots from EBS volumes attached to these EC2 Instances in another geographical location. As per this requirement, where would you create the snapshots?</t>
  </si>
  <si>
    <t>In another AZ</t>
  </si>
  <si>
    <t>In another data center</t>
  </si>
  <si>
    <t>In another Region</t>
  </si>
  <si>
    <t>In another Edge location</t>
  </si>
  <si>
    <t>A company wants to host a self managed databased in AWS. How would you ideally implement this solution?</t>
  </si>
  <si>
    <t>Using the AWS DynamoDB service</t>
  </si>
  <si>
    <t>Using the AWS RDS service</t>
  </si>
  <si>
    <t>Hosting a database on an EC2 Instance</t>
  </si>
  <si>
    <t>Using the Amazon Aurora service</t>
  </si>
  <si>
    <t>Which of the following is a compatible MySQL database which also has the ability to grow in storage size on its own?</t>
  </si>
  <si>
    <t>RDS Microsof SQL Server</t>
  </si>
  <si>
    <t>RDS MySQL</t>
  </si>
  <si>
    <t>Which of the following statements are TRUE when it comes to elasticity. Choose 2</t>
  </si>
  <si>
    <t>Diverting traffic to instances based on the demand</t>
  </si>
  <si>
    <t>Diverting traffic to instances with the least load</t>
  </si>
  <si>
    <t>Diverting traffic across multiple regions</t>
  </si>
  <si>
    <t>Diverting traffic to instances with higher capacity</t>
  </si>
  <si>
    <t>Which of the following is the concept of the Elastic load Balancer?</t>
  </si>
  <si>
    <t>To distribute traffic to multiple EC2 instances</t>
  </si>
  <si>
    <t>To scale up EC2 instance</t>
  </si>
  <si>
    <t>To distribute traffic to AWS resources across multiple regions</t>
  </si>
  <si>
    <t>To increase the size of the EC2 Instance based on demand</t>
  </si>
  <si>
    <t>Which of the following is the concept of Autoscaling?</t>
  </si>
  <si>
    <t>To scale up resources based on demand</t>
  </si>
  <si>
    <t>Which of the following is used to derive the costs for moving artefacts from on premise to AWS</t>
  </si>
  <si>
    <t>AWS TCO calculator</t>
  </si>
  <si>
    <t>AWS Consolidating billing</t>
  </si>
  <si>
    <t>Which of the following is the responsibility of the customer when ensuring that data on EBS volumes is left safe</t>
  </si>
  <si>
    <t>Deleting the data when the device is destroyed</t>
  </si>
  <si>
    <t>Creating EBS snapshots</t>
  </si>
  <si>
    <t>Attaching volumes to EC2 instances</t>
  </si>
  <si>
    <t>Creating copies of EBS Volumes</t>
  </si>
  <si>
    <t>Which of the followin can be used to call AWS services from programming languages</t>
  </si>
  <si>
    <t>AWS SDK</t>
  </si>
  <si>
    <t>AWS CLI</t>
  </si>
  <si>
    <t>Which of the following is the secure way of using AWS API to call AWS services from EC2 Instances</t>
  </si>
  <si>
    <t>IAM policies</t>
  </si>
  <si>
    <t>Which of the following are 2 ways that AWS allows to link accounts</t>
  </si>
  <si>
    <t>Consolidating billing</t>
  </si>
  <si>
    <t>Which of the following helps in Ddos protection. Choose 2</t>
  </si>
  <si>
    <t>Cloudfront</t>
  </si>
  <si>
    <t>Which of the following services can be used as a web application firewall in AWS</t>
  </si>
  <si>
    <t>AWS Protection</t>
  </si>
  <si>
    <t>You want to add an extra layer of protection to the current authentication mechanism for AWS. Which of the follofing can help in this regard</t>
  </si>
  <si>
    <t>Using password policies</t>
  </si>
  <si>
    <t>Using a mix of users names</t>
  </si>
  <si>
    <t>Using AWS WAG¡F</t>
  </si>
  <si>
    <t>Using MFA</t>
  </si>
  <si>
    <t>Which of the following disaster recovery deployment mechanism that has the lowest downtime.</t>
  </si>
  <si>
    <t>Pilot light</t>
  </si>
  <si>
    <t>Warm standby</t>
  </si>
  <si>
    <t>Backup Restore</t>
  </si>
  <si>
    <t>Devops</t>
  </si>
  <si>
    <t>Which of the following services in AWS allows dor object level storage on the cloud?</t>
  </si>
  <si>
    <t>Amazon SQS</t>
  </si>
  <si>
    <t>Which of the following can be attached to EC2 Instances to store data</t>
  </si>
  <si>
    <t>Amazon EBS Snapshots</t>
  </si>
  <si>
    <t>Which of the following networking component can be used to host EC2 resources in the AWS cloud?</t>
  </si>
  <si>
    <t>AWS VPC</t>
  </si>
  <si>
    <t>AWS Elastic Load Balancer</t>
  </si>
  <si>
    <t>AWS Autoscaling</t>
  </si>
  <si>
    <t>Your company is planning to host resources in the AWS Cloud. They want to use services which can be used to decouple resources hosted on the cloud. Which of the following services can help fulfil this requierement</t>
  </si>
  <si>
    <t>AWS EBS Volume</t>
  </si>
  <si>
    <t>AWS EBS Snapshots</t>
  </si>
  <si>
    <t>AWS Glacier</t>
  </si>
  <si>
    <t>AWS SQS</t>
  </si>
  <si>
    <t>Which of the components of the Cloudfront service can be used to distribute contents to users across the globe</t>
  </si>
  <si>
    <t>Amazon Regions</t>
  </si>
  <si>
    <t>Amazon AZ</t>
  </si>
  <si>
    <t>Amazon Edge locations</t>
  </si>
  <si>
    <t>Your company is planning to move to the AWS Cloud. You need to givve a presentation on the cost perspective when moving existing resources to the AWS Cloud. When it comes to Amazon EC2, which of the following is an advantage when it comes to the cost perspective</t>
  </si>
  <si>
    <t>Having the ability of automated backups of the EC2 instance, so that you don't need to worry abour the maintenance costs</t>
  </si>
  <si>
    <t>The ability to choose low cost AMI's to prepare EC2 instances</t>
  </si>
  <si>
    <t>The ability to only pay for what you use</t>
  </si>
  <si>
    <t>Ability to tag instances to reduce the overall cost</t>
  </si>
  <si>
    <t>Your company is planning on moving to the AWS Cloud. Once the movement to the Cloud is complete, they want to ensure that the right security settings are put in place. Which of the below tools can assist from a Security compliance. Choose 2</t>
  </si>
  <si>
    <t>AWS Kinesis</t>
  </si>
  <si>
    <t>There is a requirement to collect important metrics from AWS RDS and EC2 Instances. Which of the following services can help fulfil this requirement.</t>
  </si>
  <si>
    <t>Amazon CloudSearch</t>
  </si>
  <si>
    <t>Which of the following services can provide complete audit trail of all AWS services used within an account</t>
  </si>
  <si>
    <t>AWS Trsuted Advisor</t>
  </si>
  <si>
    <t>Which of the following service is most usegul when a Disaster Recovery method is triggered in AWS.</t>
  </si>
  <si>
    <t>Amazon Inspector</t>
  </si>
  <si>
    <t>Which of the following can be used to work with AWS services in a programmatic manner</t>
  </si>
  <si>
    <t>AWS Powershell</t>
  </si>
  <si>
    <t>AWS Bash</t>
  </si>
  <si>
    <t>When designing a system, you use the principle of "design for failure and nothing will fail". Which of the following services/features can assist in supporting this design principle. Choose 3</t>
  </si>
  <si>
    <t>AZ</t>
  </si>
  <si>
    <t>Currently your organization has an operational team that takes care of ID management in their on premise data center. They now also need to manage users and groups created in AWS. Which of the following AWS tools would they need to use for performing this management function</t>
  </si>
  <si>
    <t>You have a devops team inyour current organization structure. They are keen to know if there is any service available in AWS which can be used to manage infrastructure as code. Which of the following can be met with such a requirement?</t>
  </si>
  <si>
    <t>AWS Cloudformation</t>
  </si>
  <si>
    <t>Aws Trusted Advisor</t>
  </si>
  <si>
    <t>Which of the following services is a fully managed, petabyte scale data warehouse service in the AWS Cloud?</t>
  </si>
  <si>
    <t>Which of the following is the responsability of AWS according to the Shared Security Model? Choose 3</t>
  </si>
  <si>
    <t>Your company has just started using the resources on the AWS Cloud. They want to get an idea on the costs being incurred so far for the resources being used How can be achieved</t>
  </si>
  <si>
    <t>By going to the Amazon EC2 dashboard. Here you can see the running and forecast costs</t>
  </si>
  <si>
    <t>By using the AWS Cost and Usage reports Explorer. Here you can see the running and forecast costs.</t>
  </si>
  <si>
    <t>By using the AWS Trusted Advisor dashboard. This dashboard will give you all the costs</t>
  </si>
  <si>
    <t>By seeing the AWS Cloud Trail logs</t>
  </si>
  <si>
    <t>By default who from the below roles has complete administrative control over all resources in the respectie AWS account?</t>
  </si>
  <si>
    <t>Your design team is planning to design an application that will be hosted on the AWS Cloud. One of their main non-functional requirements is given below. Reduce inter-dependencies so failures do not impact other components. Which of the following concepts does this requirement relate to?</t>
  </si>
  <si>
    <t>Integration</t>
  </si>
  <si>
    <t>Decoupling</t>
  </si>
  <si>
    <t>Aggregation</t>
  </si>
  <si>
    <t>Segregation</t>
  </si>
  <si>
    <t>Which of the following can be used to increase the fault tolerance of an application</t>
  </si>
  <si>
    <t>Deploying resources across multiple edge locations</t>
  </si>
  <si>
    <t>Deploying resources across multiple VPC's</t>
  </si>
  <si>
    <t>Deploying resources across multiple AZ</t>
  </si>
  <si>
    <t>Deploying resources across multiple AWS Accounts</t>
  </si>
  <si>
    <t>Which of the following security requirements are managed by AWS? Select 3</t>
  </si>
  <si>
    <t>Hardware patching</t>
  </si>
  <si>
    <t>Which of the following terms relate to "Creating systems that scale to the required capacity based on changes in demand"</t>
  </si>
  <si>
    <t xml:space="preserve">Disaster recovery </t>
  </si>
  <si>
    <t>Elasticity</t>
  </si>
  <si>
    <t>Your company is planning to offload some of the batch processing workloads on to AWS. Thes jobs can be interrupted and resumed at any time. Which of the following instances types would be the most cost effective to use for this purpose.</t>
  </si>
  <si>
    <t>On demand</t>
  </si>
  <si>
    <t>Full Upfront Reserved</t>
  </si>
  <si>
    <t>Partial Upfront Reserved</t>
  </si>
  <si>
    <t>Which of the following needs a user name and password to access AWS resources</t>
  </si>
  <si>
    <t>AWS Management Console</t>
  </si>
  <si>
    <t>AWS API</t>
  </si>
  <si>
    <t>Your company is planning to use the AWS Cloud. But there is a management decision that resources need to split department wise. And the decision is tending towards managing multiple AWS accounts. Which of the following would help in efficient costing model.</t>
  </si>
  <si>
    <t>AWS Dev Pay</t>
  </si>
  <si>
    <t>Which of the following can be used as an additional layer of security to using a user name and password when logging into the AWS console</t>
  </si>
  <si>
    <t>MFA</t>
  </si>
  <si>
    <t>Secondary password</t>
  </si>
  <si>
    <t>Toot acces priviledges</t>
  </si>
  <si>
    <t>Secondary user name</t>
  </si>
  <si>
    <t>Which AWS Cloud sevice helps in quick deployment of resources which can make use of different programming languages such as .NET and Java?</t>
  </si>
  <si>
    <t>AWS Elastic  Beanstalk</t>
  </si>
  <si>
    <t>AWS Elastic Compute Cloud</t>
  </si>
  <si>
    <t>AWS SWS</t>
  </si>
  <si>
    <t>Your company handles a crucial ecommerce application. This application needs to have an uptime of at least 99.5%.  There is a decision to move the application to the AWS Cloud. Which of the following deployment stratefies can help buil a robust architecture for such an application</t>
  </si>
  <si>
    <t>Deploying the application across multiple VPC's</t>
  </si>
  <si>
    <t>Deploying the application across multiple Regions</t>
  </si>
  <si>
    <t>Deploying the application across Edge locations</t>
  </si>
  <si>
    <t>Deplying the application across multople subnets</t>
  </si>
  <si>
    <t>Which of the following initiatives from AWS helps organizations reduce the overall expenditure for IT companies when they host resources on the AWS Cloud?</t>
  </si>
  <si>
    <t>They decommission older hardware</t>
  </si>
  <si>
    <t>They continually reduce the cost of cloud computing</t>
  </si>
  <si>
    <t>They use better security mechanisms so you don't need to think about security at all</t>
  </si>
  <si>
    <t>They allow deployment of multiple resources</t>
  </si>
  <si>
    <t>You are planning on deploying a video based application onto the AWS Cloud. These videos will be accessed by users across the world. Which of the below services can help stream the content in an efficient manner to the users accross the globe?</t>
  </si>
  <si>
    <t>Which of the following storage options is best when you want to store archive data</t>
  </si>
  <si>
    <t>Amazon Store Gateway</t>
  </si>
  <si>
    <t>If there is a requirement to host EC2 Instances in the AWS Cloud wherein the utilization is guaranteed to be consistent for a long period of time, which of the following would you utilize to ensure costs are minimized?</t>
  </si>
  <si>
    <t>Which of the following services helps provide a dedicate connection from on-premise infrastructure to resources hosted in the AWS Cloud</t>
  </si>
  <si>
    <t>AWS VPN</t>
  </si>
  <si>
    <t>AWS Direct Connect</t>
  </si>
  <si>
    <t>AWS Subnets</t>
  </si>
  <si>
    <t>Which of the following is not a category recommendation given by the AWS Trusted Advisor</t>
  </si>
  <si>
    <t>High Availability</t>
  </si>
  <si>
    <t>A company is deploying a two-tier, highly available web application to AWS. The application needs a storage layer to store artefacts such as photos and videos. Which of the following services can be used as the underlying storage mechanism.</t>
  </si>
  <si>
    <t xml:space="preserve">When giving permission to users via the AWS Identity and Access Management tool, which of the following principles should be applied when granting permissions. </t>
  </si>
  <si>
    <t>Principle of least privilege</t>
  </si>
  <si>
    <t>Principle of greatest privilege</t>
  </si>
  <si>
    <t>Principle of most privilege</t>
  </si>
  <si>
    <t>Prindiple of lower privilege</t>
  </si>
  <si>
    <t>Which of the below mentioned services is equivalent to hosting virtual servers on an on-premise location?</t>
  </si>
  <si>
    <t>You have a ser of EC2 Instances hosted on the AWS Cloud. The EC2 Instances are hosting a web application. If you get a Ddos attack from the internet which of the following can help in reducing the overall threat to your EC2 Instances. Choose 2</t>
  </si>
  <si>
    <t>Usuage of Security Groups</t>
  </si>
  <si>
    <t>Usage of AWS Config</t>
  </si>
  <si>
    <t>Usage of Network Access Control Lists</t>
  </si>
  <si>
    <t>Your company currently uses VM Templates to spin up virtual machines on their on-premise infrastructure. Which of the following can be used in a similar way to spin up EC2 instances on the AWS Cloud</t>
  </si>
  <si>
    <t>Amazon Vmware</t>
  </si>
  <si>
    <t>Which of the below cannot be used to get data onto Amazon Glacier</t>
  </si>
  <si>
    <t>Your company is planning to pay for an AWS Support plan. They have the following requirements as far as the supprot plan goes. 
- 24x7 access to Cloud Support Engineers via emainl, chat &amp; phone
- A responde time of less than 1 hour for any critical faults
Which of the following plans will suffice jeeping in mind the cost factor</t>
  </si>
  <si>
    <t>Which of the following are features of an edge location. Choose 3</t>
  </si>
  <si>
    <t>Which of the following storage options provides the option of Lifecycle policies that can be used to move objects to archive storage.</t>
  </si>
  <si>
    <t xml:space="preserve">Which of the following features of Amazon RDS allows for better availability of databases. Choose 2. </t>
  </si>
  <si>
    <t>VPC Peering</t>
  </si>
  <si>
    <t>Multi AZ</t>
  </si>
  <si>
    <t>Read Replica's</t>
  </si>
  <si>
    <t>Multi- Region</t>
  </si>
  <si>
    <t>There is a requirement hosting a set of servers in the cloud for a short period of 6 months. Which of the following types of instances shold be choosen to be cost effective.</t>
  </si>
  <si>
    <t>Which of the following from AWS can be used to transfer petabytes of data from on-premise locations to the AWS Cloud</t>
  </si>
  <si>
    <t>AWS Import/Export</t>
  </si>
  <si>
    <t>AWS Transfer</t>
  </si>
  <si>
    <t>When working with the AWS Cloud which of the following are headaches you don't need to worry about. Choose 2</t>
  </si>
  <si>
    <t>Having complete control over physical infrastructure, so you don't need to worry about what AWS is doing</t>
  </si>
  <si>
    <t>Having the pay as you go model, so you don't need to worry if you are burning costs for non-running resources</t>
  </si>
  <si>
    <t>No upfront costs</t>
  </si>
  <si>
    <t>Having no need to worry about security</t>
  </si>
  <si>
    <t xml:space="preserve">Your company wants to move an existing Oracle Database to the AWS Cloud. Which of the following services can help facilitate this move. </t>
  </si>
  <si>
    <t>AWS Database Migration Service</t>
  </si>
  <si>
    <t>AWS VM Migration Service</t>
  </si>
  <si>
    <t>Which of the following features of AWS RDS allows for offloading reads of the database</t>
  </si>
  <si>
    <t>Which of the following terms refers to another geographic location in AWS?</t>
  </si>
  <si>
    <t>Availability Zone</t>
  </si>
  <si>
    <t>Data Center</t>
  </si>
  <si>
    <t>Edge locations</t>
  </si>
  <si>
    <t xml:space="preserve">A company wants to have a database hosted on AWS. As much as possible they want to have control over the database itself. Which of the following would be an ideal option for this. </t>
  </si>
  <si>
    <t>Using the AWS RDS</t>
  </si>
  <si>
    <t>Hosting on the databse on an EC2 instance</t>
  </si>
  <si>
    <t xml:space="preserve">A company currently has an application which consist of a .Net layer which connects to a MySQL database. They now want to move this application onto AWS. They want to make use of all AWS features such as high availability and automated backups. Which of the following would be an ideal database in AWS to migrate to for this requirement. </t>
  </si>
  <si>
    <t>An EC2 instance with MySQL installed</t>
  </si>
  <si>
    <t>An EC2 instance with Aurora installed</t>
  </si>
  <si>
    <t>Which of the following statements are FALSE when it comes to elasticity. Choose 2</t>
  </si>
  <si>
    <t>Which of the following services relates the concept of "Distributing traffic to multiple EC2 instances"</t>
  </si>
  <si>
    <t>Autoscaling</t>
  </si>
  <si>
    <t>Which of the following servics relates the concept of "Scaling up resources based on demad"</t>
  </si>
  <si>
    <t>A company is planning to migrate their existing AWS Services to the Cloud. Which of the following would help them do a cost benefit analysis of moving to the AWS Cloud.</t>
  </si>
  <si>
    <t>Which of the following does AWS perform on its belhalf for EBS volumes to make it less probe to failure</t>
  </si>
  <si>
    <t>Replication of the volume across Availability Zones</t>
  </si>
  <si>
    <t>Replication of the volume in the same Availability Zone</t>
  </si>
  <si>
    <t>Replication of the volume across Regions</t>
  </si>
  <si>
    <t>Replication of the volume across Edge locations</t>
  </si>
  <si>
    <t>You have a set of developers that need to use .Net to call AWS Services. Which of the following can be used to achieve this purpose</t>
  </si>
  <si>
    <t>You have an EC2 instance in development that interacts with the S3. The EC2 Instance is going to be promoted to the production environment. Which of the following features should be used for secure communication between the EC2 Instance and the S3.</t>
  </si>
  <si>
    <t>IAM Policies</t>
  </si>
  <si>
    <t>Which of the following can be used to view one bill when you have multiple AWS Accounts</t>
  </si>
  <si>
    <t xml:space="preserve">Consolidating billing </t>
  </si>
  <si>
    <t>Combined Billing</t>
  </si>
  <si>
    <t>Your company is planning to host a large ecommerce application on the AWS Cloud. One of their major concerns is Internet attacks such as Ddos attacks. Which of the following help mitigate this concern. Choose 2</t>
  </si>
  <si>
    <t>AWS config</t>
  </si>
  <si>
    <t>Which of the following services is a serverless compute service in AWS</t>
  </si>
  <si>
    <t>AWS Lambda</t>
  </si>
  <si>
    <t>AWS Opswork</t>
  </si>
  <si>
    <t>Which of the following are services where you don't need to manage the underlying indrastructure. Choose 2</t>
  </si>
  <si>
    <t>Which of the following disaster recovery deployment mechanism that has the higuest downtime.</t>
  </si>
  <si>
    <t>Multi Site</t>
  </si>
  <si>
    <t>Backup and Restore</t>
  </si>
  <si>
    <t>Which of the following services allows you to analyze EC2 Instances against pre-defined security templates to check for vulnerabilities</t>
  </si>
  <si>
    <t>Which of the following storage mechanisms can be used to store messages effectively which can be used across distributed systems</t>
  </si>
  <si>
    <t>Amazon EBS Volume</t>
  </si>
  <si>
    <t xml:space="preserve">You are exploring what services AWS has off-hand. You have a large number of data sets that need to be processed. Which of the following services can help fulfil this requirement. </t>
  </si>
  <si>
    <t>EMR</t>
  </si>
  <si>
    <t>Storage Gateway</t>
  </si>
  <si>
    <t>Which one of the following feature is normally present in all of AWS Support plans</t>
  </si>
  <si>
    <t>24*7 access to customer support</t>
  </si>
  <si>
    <t>Access to all features in the Trusted Advisor</t>
  </si>
  <si>
    <t>A technical Account Manager</t>
  </si>
  <si>
    <t>A dedicated support person</t>
  </si>
  <si>
    <t>You are planning to serve a web application on the AWS Platform by using EC2 Instances. Which of the below principles would you adopt to ensure that even if some of the EC2 insstances crashes, you still have a working application</t>
  </si>
  <si>
    <t>Using a scalable system</t>
  </si>
  <si>
    <t>Using an elastic system</t>
  </si>
  <si>
    <t>Using a regional system</t>
  </si>
  <si>
    <t>Using a fault tolerant system</t>
  </si>
  <si>
    <t>Which of the following options would entice a company to use AWS over an on-premises data center? Choose 2</t>
  </si>
  <si>
    <t>Having access to Free and Unlimited Storage</t>
  </si>
  <si>
    <t>Having access to Unlimited Physical servers</t>
  </si>
  <si>
    <t>Having a highly available infrastructure</t>
  </si>
  <si>
    <t>Ability to use resources on demand</t>
  </si>
  <si>
    <t>What AWS Service has buillt in Ddos mitigation</t>
  </si>
  <si>
    <t>Cloudtrail</t>
  </si>
  <si>
    <t>You hace 2 accounts in your AWS account. One for the Dev and the other for QA. All are part of consolidated billing. The master account has purchase 3 reserved instances. The Dev department is currently using 2 reserved instances. The QA team is planning on using 3 instances which of the same instance type. What is the pricing tier of the instances that can be used by the QA Team?</t>
  </si>
  <si>
    <t>No reserved and 3 on-demand</t>
  </si>
  <si>
    <t>One reserved and 2 on-demand</t>
  </si>
  <si>
    <t>Two reserved and 1 on-demand</t>
  </si>
  <si>
    <t>Three resrved and no on-demand</t>
  </si>
  <si>
    <t>Which of the following are right principles when designing cloud based systems. Choose 2</t>
  </si>
  <si>
    <t>Build Tighly-coupled components</t>
  </si>
  <si>
    <t>Build loosely-coupled components</t>
  </si>
  <si>
    <t>Assume everything will fail</t>
  </si>
  <si>
    <t>Use as many services as possible</t>
  </si>
  <si>
    <t>Which of the following AWS services can assit you with cost optimization?</t>
  </si>
  <si>
    <t>Which of the following is the amount of storage that can be stored in the S3</t>
  </si>
  <si>
    <t>1 TB</t>
  </si>
  <si>
    <t>5 TB</t>
  </si>
  <si>
    <t>1 PB</t>
  </si>
  <si>
    <t>Virtually unlimited storage</t>
  </si>
  <si>
    <t>Which services allow the customer to retain full administrative privileges of the underlying virtual infrastructure</t>
  </si>
  <si>
    <t>Amazon Lambda</t>
  </si>
  <si>
    <t>Which of the following AWS services should you use to migrate an existing database to AWS</t>
  </si>
  <si>
    <t>You have a mission critical application which must be globally available at all times. If this is the case, which of the below deployment mechanisms would you employ</t>
  </si>
  <si>
    <t>Deployment to multiple edge locations</t>
  </si>
  <si>
    <t>Deployment to multiple AZ</t>
  </si>
  <si>
    <t>Deployment to multiple Data Centers</t>
  </si>
  <si>
    <t>Deployment to multiple Regions</t>
  </si>
  <si>
    <t>Which of the following can be used to protect against Ddos attacks. Choose 2</t>
  </si>
  <si>
    <t>AWS ELB</t>
  </si>
  <si>
    <t>AWS Shield Advanced</t>
  </si>
  <si>
    <t>Which of the following is a serverless compute offering from AWS</t>
  </si>
  <si>
    <t>Which of the following allows you to carve out a porpotion of the AWS Cloud</t>
  </si>
  <si>
    <t>AWS AZ</t>
  </si>
  <si>
    <t>In order to predict the cost of moving resources from on-premise to the cloud, which of the following can be used</t>
  </si>
  <si>
    <t>What is the concept of an AWS region?</t>
  </si>
  <si>
    <t>It is a collection of Edge locations</t>
  </si>
  <si>
    <t>It is a collection of Compute capacity</t>
  </si>
  <si>
    <t>It is a geographical area divided into AZ</t>
  </si>
  <si>
    <t>It is the same as an AZ</t>
  </si>
  <si>
    <t>In AWS, which security aspescts are the customer's responsibility? Choose 4</t>
  </si>
  <si>
    <t>Security Group and Acces Control Lists (ACL)</t>
  </si>
  <si>
    <t>Decommisioning storage devices</t>
  </si>
  <si>
    <t>Patch management on the EC2 instance's operating system</t>
  </si>
  <si>
    <t>Life-cycle management of IAM credentials</t>
  </si>
  <si>
    <t>Controlling physical access to compute resoures</t>
  </si>
  <si>
    <t>Encryption of EBS</t>
  </si>
  <si>
    <t>Which of the following can be used to manage identities in AWS</t>
  </si>
  <si>
    <t>AWS</t>
  </si>
  <si>
    <t>Which of the folowwing is a best practice when working with permissions in AWS</t>
  </si>
  <si>
    <t>Ensure the least privilege access is used</t>
  </si>
  <si>
    <t>Use the root account credentials</t>
  </si>
  <si>
    <t>Don't use IAM users and groups</t>
  </si>
  <si>
    <t>Ensure the higuest privilege access is used</t>
  </si>
  <si>
    <t>Http Transfer</t>
  </si>
  <si>
    <t>S3 Accelation</t>
  </si>
  <si>
    <t>When working on the costing for on-demand EC2 instances, which are the following attributes which determine the costing the EC2 Instance. Choose 3</t>
  </si>
  <si>
    <t>Instance Type</t>
  </si>
  <si>
    <t>AMI Type</t>
  </si>
  <si>
    <t>A company wants to utilize aws storage. For them low storage cost is paramount, the data is rarely retrieved, and data retrieval times of several hours are acceptable for them. What is the best storage option to use?</t>
  </si>
  <si>
    <t>AWS S3 Reduced Redundancy Storage</t>
  </si>
  <si>
    <t>EBS backed storage connected to EC2</t>
  </si>
  <si>
    <t>AWS Cloud Front</t>
  </si>
  <si>
    <t>What are characteristis on Amazon S3. Choose 2</t>
  </si>
  <si>
    <t>S3 allows you to store objects of virtually unlimited size</t>
  </si>
  <si>
    <t>S3 allows you to store unlimited amounts of data</t>
  </si>
  <si>
    <t>S2 should be used to host a relational database</t>
  </si>
  <si>
    <t>Objects are directly accesible via a URL</t>
  </si>
  <si>
    <t>What is the AWS service provided which a fully managed NoSQL database service that provides fast and predictable performance with seamless scalability</t>
  </si>
  <si>
    <t>Oracle RDS</t>
  </si>
  <si>
    <t>Elastic Map Reduce</t>
  </si>
  <si>
    <t>You want to monitor the CPU utilization of an EC2 resources in AWS. Which of the below services can help in this regard</t>
  </si>
  <si>
    <t>AWS Cloudtrail</t>
  </si>
  <si>
    <t>AWS Cloudwatch</t>
  </si>
  <si>
    <t>A company is deploying a 2 tier, highly available web application to AWS. Which service provides durable storage for static content while utilizing lower Overall CPU resources for the web tier?</t>
  </si>
  <si>
    <t>Which AWS service allows for distribution of incoming application traffic across multiple EC2 instances?</t>
  </si>
  <si>
    <t>Which of the below AWS services allows you to base the number of resources on the demand of the application or users</t>
  </si>
  <si>
    <t>Which of the following is AWS managed database service provides processing power that is up to 5x faster than a traditional MySQL database</t>
  </si>
  <si>
    <t>MariaDB</t>
  </si>
  <si>
    <t>Which of the following is AWS services allows you to build a data warehouse on the cloud</t>
  </si>
  <si>
    <t>AWS EMR</t>
  </si>
  <si>
    <t>Which of the following services helps in governance, compliance and risk auditing in AWS</t>
  </si>
  <si>
    <t>When using on-demand instances in AWS, which of the following is a false statement when it comes to the costing for the instance.</t>
  </si>
  <si>
    <t>You pay no upfront costs for the instance</t>
  </si>
  <si>
    <t>You are charged per second based on the hourly rate</t>
  </si>
  <si>
    <t>You have to pay the termination fees if you terminate the instance</t>
  </si>
  <si>
    <t>You pay for much you use</t>
  </si>
  <si>
    <t>AWS provides a storage option known as Amazon Glacier. What is this AWS service designed for? Choose 2</t>
  </si>
  <si>
    <t>Cached session data</t>
  </si>
  <si>
    <t>Infrequently accessed data</t>
  </si>
  <si>
    <t>Data archives</t>
  </si>
  <si>
    <t>Active database storage</t>
  </si>
  <si>
    <t>Which of the following is not a suported database in the AWS RDS service</t>
  </si>
  <si>
    <t>There is a requirement to move 10 TB data warehouse to the AWS cloud. Which of the following is an ideal service which can be used to move this amount of data to the AWS Cloud</t>
  </si>
  <si>
    <t>Amazon Snowball</t>
  </si>
  <si>
    <t>Amazon Direct Connect</t>
  </si>
  <si>
    <t>Amazon S3 Multipart Upload</t>
  </si>
  <si>
    <t>Amazon S3 Connector</t>
  </si>
  <si>
    <t>What is the key difference between an availability zone and an edge location?</t>
  </si>
  <si>
    <t>An availability zone is a grouping of AWS resources in a specific region; as edge location is a specific resource within the AWS region</t>
  </si>
  <si>
    <t>An availability zone is an Amazon resource within an AWS region, whereas an edge location will deliver cached content to the closest location to reduce latency</t>
  </si>
  <si>
    <t>Edge locations are used as control stations for AWS resources</t>
  </si>
  <si>
    <t>None of the above</t>
  </si>
  <si>
    <t>Which of the following security features is associated with a Subnet in a VPC to protect against Incoming traffic requests</t>
  </si>
  <si>
    <t>Subnet Groups</t>
  </si>
  <si>
    <t xml:space="preserve">Security Group </t>
  </si>
  <si>
    <t>NACL</t>
  </si>
  <si>
    <t>In AWS billing what option can be used to ensure costs can be reduced if you have multiple accounts</t>
  </si>
  <si>
    <t>Consolidated billing</t>
  </si>
  <si>
    <t>Costs are automatically reduced for multiple accounts by AWS</t>
  </si>
  <si>
    <t>It is not possible to reduce costs with multiple accoounts</t>
  </si>
  <si>
    <t>You have a Web application hosted in an EC2 Instance that needs to send notifications based on events. Which of the below services can assist in sending notifications</t>
  </si>
  <si>
    <t>AWS SES</t>
  </si>
  <si>
    <t xml:space="preserve">AWS SQS </t>
  </si>
  <si>
    <t>What is a document that provides a formal statement of one or more permissions?</t>
  </si>
  <si>
    <t>Policy</t>
  </si>
  <si>
    <t>Permission</t>
  </si>
  <si>
    <t>Role</t>
  </si>
  <si>
    <t>Resource</t>
  </si>
  <si>
    <t>What acts as a firewall that controls the traffic allowed to reach one or more instances?</t>
  </si>
  <si>
    <t>Security group</t>
  </si>
  <si>
    <t>ACL</t>
  </si>
  <si>
    <t>Which of the following are benefits of the AWS's Relational Database Service (RDS)? Choose 2</t>
  </si>
  <si>
    <t>Automated patched and backups</t>
  </si>
  <si>
    <t>You can resize the capacity accordingly</t>
  </si>
  <si>
    <t>It allows you to store unstructured data</t>
  </si>
  <si>
    <t>It allows you to store NoSQL data</t>
  </si>
  <si>
    <t>Which AWS service uses Edge Locations for content caching</t>
  </si>
  <si>
    <t>AWS Cloudfront</t>
  </si>
  <si>
    <t>A company wants to create standars templates for deployment of their Infrastructure. Which AWS service can be used in this regard?</t>
  </si>
  <si>
    <t>Amazon Simple Workflow Service</t>
  </si>
  <si>
    <t>AWS Elastic Beanstalk</t>
  </si>
  <si>
    <t>AWS CloudFormation</t>
  </si>
  <si>
    <t>You have a distributed application that periodically processes large volumes of data across multiple Amazon EC2 Instances. The application is designed to recover gracefully from Amazon EC2 instance failures. You are required to accomplish this task in the most cost effective way. Which of the following will meet your requirement?</t>
  </si>
  <si>
    <t>Reserves instances</t>
  </si>
  <si>
    <t>Dedicated instances</t>
  </si>
  <si>
    <t>What is the service provided by AWS that lets you host Domain Name systems?</t>
  </si>
  <si>
    <t>VPN</t>
  </si>
  <si>
    <t>What is the service provided by AWS that allows developers to easily deploy and manage applications on the cloud?</t>
  </si>
  <si>
    <t>Opswork</t>
  </si>
  <si>
    <t>Container service</t>
  </si>
  <si>
    <t>A company is deploying a new two tier web application in AWS. The company wants to store their most frequently used data so that the response time for the application is improved. Which AWS service provides the solution for the company's requirements?</t>
  </si>
  <si>
    <t>MySQL Installed on two Amazon EC2 Instances in a single Availability Zone</t>
  </si>
  <si>
    <t>Amazon RDS for MySQL with Multi- AZ</t>
  </si>
  <si>
    <t>Amazon Elasticache</t>
  </si>
  <si>
    <t>If you wanted to take a backup of an EBS Volume, what would you do?</t>
  </si>
  <si>
    <t>Store the EBS volume in S3</t>
  </si>
  <si>
    <t>Store the EBS volume in an RDS database</t>
  </si>
  <si>
    <t>Create an EBS snapshot</t>
  </si>
  <si>
    <t>Store the EBS volume in DynamoDB</t>
  </si>
  <si>
    <t>What does Amazon EC2 provide?</t>
  </si>
  <si>
    <t>Virtual servers in the cloud</t>
  </si>
  <si>
    <t>A platform to run code (Java, PDP, Python), paying on an hourly basis</t>
  </si>
  <si>
    <t>Computer Clusters in the cloud</t>
  </si>
  <si>
    <t>Physical servers, remotely managed by the customer</t>
  </si>
  <si>
    <t>Which of the following options of AWS RDS allows for AWS to failover to a secondary database in case the primary one fails</t>
  </si>
  <si>
    <t>AWS Multi-AZ</t>
  </si>
  <si>
    <t>AWS Failover</t>
  </si>
  <si>
    <t>AWS Secondary</t>
  </si>
  <si>
    <t>AWS Standby</t>
  </si>
  <si>
    <t>What service from AWS can help manage costs for all resources in AWS?</t>
  </si>
  <si>
    <t>Cost Allocation Tags</t>
  </si>
  <si>
    <t>AWS Consolidated billing</t>
  </si>
  <si>
    <t>Payment History</t>
  </si>
  <si>
    <t>What service helps you to aggregate logs from your EC2 instance?</t>
  </si>
  <si>
    <t>Cloudwatch logs</t>
  </si>
  <si>
    <t>Which of the following items allow an application deployed on an EC2 instance to write data to S3 in a secure manner</t>
  </si>
  <si>
    <t>AWS IAM Users</t>
  </si>
  <si>
    <t>AWS IAM Roles</t>
  </si>
  <si>
    <t>AWS IAM Groups</t>
  </si>
  <si>
    <t>AWS IAM Permissions</t>
  </si>
  <si>
    <t>What are the four levels of AWS Premium Support?</t>
  </si>
  <si>
    <t>Basic, Developer, Business, Enterprise</t>
  </si>
  <si>
    <t>Basic, Startup, Business, Enterprise</t>
  </si>
  <si>
    <t>Free, Bronze, Silver, Gold</t>
  </si>
  <si>
    <t>All support is free</t>
  </si>
  <si>
    <t>A company does not want to manage their database. Which of the following services is a fully managed NoSQL database provided by AWS.</t>
  </si>
  <si>
    <t>Which of the following are attributes to the costing for using the Simple Storage Service. Choose 2</t>
  </si>
  <si>
    <t>The storage class used for the objects stored</t>
  </si>
  <si>
    <t>Number of S3 buckets</t>
  </si>
  <si>
    <t>The total size in gigabytes of all objects stored</t>
  </si>
  <si>
    <t>Using encryption in S3</t>
  </si>
  <si>
    <t>If you want to develop an application in Java, which of the following tools would you use</t>
  </si>
  <si>
    <t>Which of the following services helps provide a connection from on-premise infrastructure to resources hosted in the AWS Cloud. Choose 2</t>
  </si>
  <si>
    <t>You want to take a snapshot of an EC2 Instance and create a new instance out of it. In AWS what is this snapshot equivalent to?</t>
  </si>
  <si>
    <t>AMI</t>
  </si>
  <si>
    <t>EC2 Snapshot</t>
  </si>
  <si>
    <t>There is a requirement hosting a set of servers in the Cloud for a short period of 3 months. Which of the following types of instances should be chosen to be cost effective.</t>
  </si>
  <si>
    <t>Which of the following concepts is used when you want to manage the bills for multiple accounts under one master account</t>
  </si>
  <si>
    <t>Which of the following is not a disaster recovery deployment technique</t>
  </si>
  <si>
    <t>Single Site</t>
  </si>
  <si>
    <t>You have an application composed of individual services and you need to route a request to a service based on the content of the request. What type pf load balancer should you use?</t>
  </si>
  <si>
    <t>Classic Load Balancer</t>
  </si>
  <si>
    <t>VPN Load Balancer</t>
  </si>
  <si>
    <t>Which component of the AWS global infrastructure supports the caching of content for faster access?</t>
  </si>
  <si>
    <t>AWS Direct Connect locations</t>
  </si>
  <si>
    <t>How is storage typically priced on AWS Cloud?</t>
  </si>
  <si>
    <t>Charged per hour or second</t>
  </si>
  <si>
    <t>Charged by instance type</t>
  </si>
  <si>
    <t>Charged per GB</t>
  </si>
  <si>
    <t>Charged by speed of transfer</t>
  </si>
  <si>
    <t>Which service provides persistent block storage volumes for use with Amazon EC2 instances?</t>
  </si>
  <si>
    <t>Amazon EFS</t>
  </si>
  <si>
    <t>Which parts of the AWS infrastructure support increased resilience?</t>
  </si>
  <si>
    <t>Multiple edge locations within a Region</t>
  </si>
  <si>
    <t>Multiple AWS Direct Connect (DX) gateways within a data center</t>
  </si>
  <si>
    <t>Multiple Regions distributed globally</t>
  </si>
  <si>
    <t>Multiple Availability Zones within a Region</t>
  </si>
  <si>
    <t>Which of the following is a best practice for adding an additional layer of security when logging into the AWS Management Console?</t>
  </si>
  <si>
    <t>Multi-factor authentication (MFA)</t>
  </si>
  <si>
    <t>Root access permissions</t>
  </si>
  <si>
    <t>Which of the following services provides you with data and actionable insights to monitor your applications, understand and respond to system-wide performance changes, optimize resource utilization, and get a unified view of operational health?</t>
  </si>
  <si>
    <t>AWS Cloud9</t>
  </si>
  <si>
    <t>Which method would you use to access AWS services through an easy-to-use graphical interface?</t>
  </si>
  <si>
    <t>Software Development Kits (AWS SDKs)</t>
  </si>
  <si>
    <t>AWS Command Line Interface (AWS CLI)</t>
  </si>
  <si>
    <t>AWS EasyLaunch</t>
  </si>
  <si>
    <t>Which of the following options describes the most common AWS billing model?</t>
  </si>
  <si>
    <t>Annual billing</t>
  </si>
  <si>
    <t>Daily billing</t>
  </si>
  <si>
    <t>Pay  in advance</t>
  </si>
  <si>
    <t>Which AWS service enables you to repeatedly and predictably provision resources to power your applications?</t>
  </si>
  <si>
    <t>AWS Cloud Map</t>
  </si>
  <si>
    <t>AWS CloudTrain</t>
  </si>
  <si>
    <t>Which of the following components is included in the value proposition of the AWS Cloud?</t>
  </si>
  <si>
    <t>Fully independent development without parameters</t>
  </si>
  <si>
    <t>Informal security restrictions</t>
  </si>
  <si>
    <t>Massive economies of scale</t>
  </si>
  <si>
    <t>Physical relocation of your servers</t>
  </si>
  <si>
    <t>Which of the following AWS services has no additional charge associated with its use? (The resources provisioned within the service may incur costs)</t>
  </si>
  <si>
    <t>Amazon Elastic Block Store (Amazon EBS)</t>
  </si>
  <si>
    <t>Amazon Elastic Compute Cloud (EC2)</t>
  </si>
  <si>
    <t>Amazon Simple Storage Service (S3)</t>
  </si>
  <si>
    <t>Which AWS service is a managed DDoS protection service that safeguards applications running on AWS?</t>
  </si>
  <si>
    <t>AWS Identity and Access Management</t>
  </si>
  <si>
    <t>Which of the following defines the AWS Command Line Interface (AWS CLI)?</t>
  </si>
  <si>
    <t>A suite of utilities that can be launched from a command program in Linux, macOS or Windows</t>
  </si>
  <si>
    <t>A rich graphical interface to a majority of the features offered by AWS.</t>
  </si>
  <si>
    <t>A systematic approach to evaluating and implementing architectures</t>
  </si>
  <si>
    <t>Packages that enable access to AWS in a variety of programming languages</t>
  </si>
  <si>
    <t>Your company is developing a critical application, and the security of the application is one of the top priorities. Which of the following AWS services will provide recommendations for security optimization for your infrastructure?</t>
  </si>
  <si>
    <t>Which of the following use cases is appropiate for Amazon CloudFront? (Select Three)</t>
  </si>
  <si>
    <t>Schema generation</t>
  </si>
  <si>
    <t>Database backups</t>
  </si>
  <si>
    <t>Security and encryption</t>
  </si>
  <si>
    <t>Live on-demand video streaming</t>
  </si>
  <si>
    <t>Static asset caching</t>
  </si>
  <si>
    <t>Which of the pillars of the Well-Architected Framework is defined as the ability to run and monitor systems to deliver business value to continually improve supporting processes and procedures?</t>
  </si>
  <si>
    <t>Performance efficiency</t>
  </si>
  <si>
    <t>Reliability</t>
  </si>
  <si>
    <t>Operational excellence</t>
  </si>
  <si>
    <t>What is Amazon Route 53?</t>
  </si>
  <si>
    <t>A cloud service solution that establishes private connectivity between AWS and your data center, office, or colocation environment.</t>
  </si>
  <si>
    <t>A monitoring and management service that collects and tracks metrics.</t>
  </si>
  <si>
    <t>A fast and flexible nonrelational database service for all applications that need consistent, single-digit millisecond latency at any scale.</t>
  </si>
  <si>
    <t>A highly available and scalable Domain Name System (DNS) web service</t>
  </si>
  <si>
    <t>Which of the following AWS concepts refers to "Established best practices developed through lessons learned by working with customers"?</t>
  </si>
  <si>
    <t>Well-Architected Framework</t>
  </si>
  <si>
    <t>Security of the Cloud</t>
  </si>
  <si>
    <t>Reference Architecture</t>
  </si>
  <si>
    <t>A company has 70 employees divided into 10 departments. The IT administrator wants to customize each department's access to AWS. Which of the following options is most appropiate?</t>
  </si>
  <si>
    <t>Create an IAM role for each department, and assign IAM users to the roles.</t>
  </si>
  <si>
    <t>Create an IAM group for each department, and assign IAM users to the groups.</t>
  </si>
  <si>
    <t>Create a temporary role for each employee, and revise their access as needed.</t>
  </si>
  <si>
    <t>Make each employee an AWS account root user.</t>
  </si>
  <si>
    <t>Which category of services includes Amazon S3?</t>
  </si>
  <si>
    <t>Computing</t>
  </si>
  <si>
    <t>Migration</t>
  </si>
  <si>
    <t>Which of the following tasks is the customer's responsibility when creating Amazon VPC security groups?</t>
  </si>
  <si>
    <t>Choosing the level of physical security for the network.</t>
  </si>
  <si>
    <t>Selecting an appropiate load balancing strategy for the network routers.</t>
  </si>
  <si>
    <t>Ensuring that the security groups are linked to Amazon EC2.</t>
  </si>
  <si>
    <t>Adding rules regarding inbound traffic to the security group.</t>
  </si>
  <si>
    <t>Who is responsible for security of the cloud according to the shared responsibilty model?</t>
  </si>
  <si>
    <t>Customer</t>
  </si>
  <si>
    <t>IAM roles</t>
  </si>
  <si>
    <t xml:space="preserve">AWS Support </t>
  </si>
  <si>
    <t>What is Elastic Load Balancing?</t>
  </si>
  <si>
    <t>Automatically slowing traffic to decrease latency</t>
  </si>
  <si>
    <t>Automatically distributing traffic across multiple targets</t>
  </si>
  <si>
    <t>Automatically stopping traffic when targets are overloaded.</t>
  </si>
  <si>
    <t>Automatically monitoring traffic to ensure that costs are kept beneath a specified threshold</t>
  </si>
  <si>
    <t>You have been tasked with distributing a newsletter that will be pushed out to administrators by email. Which of the following is the best solution?</t>
  </si>
  <si>
    <t>Create a topic in Amazon Simple Notification Service (Amazon SNS) that administrators can subscribe to.</t>
  </si>
  <si>
    <t>Route the newsletters to an Amazon ElastiCache store.</t>
  </si>
  <si>
    <t>Store the newsletters in an Amazon Simple Storage  Service (Amazon S3) bucket and distribute them with AWS CloudTrail.</t>
  </si>
  <si>
    <t>Create a messaging queue in Amazon CloudFront.</t>
  </si>
  <si>
    <t>Which of the following examples best demonstrates the agility that cloud computing offers?</t>
  </si>
  <si>
    <t>Quick deploy multi-factor authentication (MFA) to multiple data centers.</t>
  </si>
  <si>
    <t>Increase network throughput with AWS Direct Connect (DX) nodes.</t>
  </si>
  <si>
    <t>Spin up servers in minutes, and shut down servers when you don't need them.</t>
  </si>
  <si>
    <t>Protect your data by centralizing your applications in one Availability Zone.</t>
  </si>
  <si>
    <t>Which service sends notifications or automatically makes canges to the resources being monitored based on rules you established?</t>
  </si>
  <si>
    <t>Which of the following instance types provides you with a significant discount compared to On-Demand Instance pricing?</t>
  </si>
  <si>
    <t>Amazon EC2 Dedicated Hosts</t>
  </si>
  <si>
    <t>Amazon EC2 Reserved Instances</t>
  </si>
  <si>
    <t>Amazon EC2 Instant Instances</t>
  </si>
  <si>
    <t>Amazon EC2 Dedicated Instances</t>
  </si>
  <si>
    <t>Which of the following is a responsibility of the customer according to the shared responsibility model?</t>
  </si>
  <si>
    <t>Availability of third-party audit reports</t>
  </si>
  <si>
    <t>Physical security of the facilities in which the services operate</t>
  </si>
  <si>
    <t>Protection of the global infrastructure</t>
  </si>
  <si>
    <t>Preg. Resp.</t>
  </si>
  <si>
    <t>Puntaje</t>
  </si>
  <si>
    <t>Tu puntuación:</t>
  </si>
  <si>
    <t>By using Amazon VPC console</t>
  </si>
  <si>
    <t>By using AWS Cost explorer</t>
  </si>
  <si>
    <t>By contacting the AWS Support team</t>
  </si>
  <si>
    <t>By contacting the AWS Finance team</t>
  </si>
  <si>
    <t>How can you view the distribution of AWS spending in one of your AWS accounts?</t>
  </si>
  <si>
    <t>Respuesta</t>
  </si>
  <si>
    <t>Pregunta 65:</t>
  </si>
  <si>
    <t>AWS Server Migration Service</t>
  </si>
  <si>
    <t>AWS Application Discovery Service</t>
  </si>
  <si>
    <t>A company has decided to migrate its Oracle database to AWS. Which AWS service can help achieve this without negatively impacting the functionality of the source database?</t>
  </si>
  <si>
    <t>Pregunta 64:</t>
  </si>
  <si>
    <t>Configure the Amazon Simple Email Service to send an SNS billing notification to their email address</t>
  </si>
  <si>
    <t>Configure the Amazon Connect Service to send an SNS billing notification to their email address</t>
  </si>
  <si>
    <t>Setup a CloudWatch billing alarm that triggers an SNS notification to their email address</t>
  </si>
  <si>
    <t>Setup a CloudTrail billing alarm that triggers an SNS notification to their email address</t>
  </si>
  <si>
    <t>A startup company is operating on limited funds and is extremely concerned about cost overruns. Which of the below options can be used to notify the company when their monthly AWS bill exceeds $2000?</t>
  </si>
  <si>
    <t>Pregunta 63:</t>
  </si>
  <si>
    <t>AWS Trusted advisor</t>
  </si>
  <si>
    <t>Your company is developing a critical web application in AWS, and the security of the application is a top priority. Which of the following AWS services will provide infrastructure security optimization recommendations?</t>
  </si>
  <si>
    <t>Pregunta 62:</t>
  </si>
  <si>
    <t>Configuring network access rules</t>
  </si>
  <si>
    <t>Setting password complexity rules</t>
  </si>
  <si>
    <t>Patching the network infraestructure</t>
  </si>
  <si>
    <t>Controlling physicall access to compute resources</t>
  </si>
  <si>
    <t>In the AWS Shared responsibility Model, which of the following are the responsibility of the customer? (Choose TWO)</t>
  </si>
  <si>
    <t>Pregunta 61:</t>
  </si>
  <si>
    <t>Elastic Ris</t>
  </si>
  <si>
    <t>Convertible Ris</t>
  </si>
  <si>
    <t>Scheduled Ris</t>
  </si>
  <si>
    <t>Standard RI</t>
  </si>
  <si>
    <t>An organization has decided to reserve EC2 compute capacity for three years in order to reduce costs. It is possible that the application workloads could change during the reservation time period. What is the EC2 Reserved Instance (RI) type that will allow the company to modify the reservation if they need to?</t>
  </si>
  <si>
    <t>Pregunta 60:</t>
  </si>
  <si>
    <t>IAM users</t>
  </si>
  <si>
    <t>An organization has a large number of technical employees who operate their AWS Cloud infrastructure. What does AWS provide to help organize them into teams and then assign the appropriate permissions for each team?</t>
  </si>
  <si>
    <t>Pregunta 59:</t>
  </si>
  <si>
    <t>Amazon RedShift</t>
  </si>
  <si>
    <t>Your company has a data store application that requires access to a NoSQL database. Which AWS database offering would meet this requirement?</t>
  </si>
  <si>
    <t>Pregunta 58:</t>
  </si>
  <si>
    <t>Operating applications on behalf of customers</t>
  </si>
  <si>
    <t>There is no need to worry about security</t>
  </si>
  <si>
    <t>Gaining complete control over the physical infrastructure</t>
  </si>
  <si>
    <t>Increasing speed and agility</t>
  </si>
  <si>
    <t>All of the physical security and most of the data/network security are taken care of for you</t>
  </si>
  <si>
    <t>What are the benefits of having infrastructure hosted in AWS? (Choose TWO)</t>
  </si>
  <si>
    <t>Pregunta 57:</t>
  </si>
  <si>
    <t>Amazon RDS</t>
  </si>
  <si>
    <t>You work as an on-premises MySQL DBA. The work of database configuration, backups, patching, and DR can be time-consuming and repetitive. Your company has decided to migrate to the AWS Cloud. Which of the following can help save time on database maintenance so you can focus on data architecture and performance?</t>
  </si>
  <si>
    <t>Pregunta 56:</t>
  </si>
  <si>
    <t>By reducing interdependencies between application components wherever possible</t>
  </si>
  <si>
    <t>By automatically provisioning the required AWS resources based on changes in demand</t>
  </si>
  <si>
    <t>By automatically scaling your AWS resources using an Elastic Load Balancer</t>
  </si>
  <si>
    <t>By automatically scaling your on-premises resources based on changes in demand</t>
  </si>
  <si>
    <t>One of the most important AWS best-practices to follow is the cloud architecture principle of elasticity. How does this principle improve your architecture’s design?</t>
  </si>
  <si>
    <t>Pregunta 55:</t>
  </si>
  <si>
    <t>AWS Operations Support</t>
  </si>
  <si>
    <t>AWS Support Concierge</t>
  </si>
  <si>
    <t>AWS Personal Health Dashboard</t>
  </si>
  <si>
    <t>A company has an AWS Enterprise Support plan. They want quick and efficient guidance with their billing and account inquiries. Which of the following should the company use?</t>
  </si>
  <si>
    <t>Pregunta 54:</t>
  </si>
  <si>
    <t>AWS Cost &amp; Usage Reports</t>
  </si>
  <si>
    <t>AWS Systems Manager</t>
  </si>
  <si>
    <t>Which of the following helps a customer view the Amazon EC2 billing activity for the past month?</t>
  </si>
  <si>
    <t>Pregunta 53:</t>
  </si>
  <si>
    <t>All IAM users should have at least the necessary permissions to access the core AWS services</t>
  </si>
  <si>
    <t>You should grant your users only the permissions they need when they need them and nothing more</t>
  </si>
  <si>
    <t>IAM users should not be granted any permissions; to keep your account safe</t>
  </si>
  <si>
    <t>All trusted IAM users should have access to any AWS service in the respective AWS account</t>
  </si>
  <si>
    <t>What does the "Principle of Least Privilege" refer to?</t>
  </si>
  <si>
    <t>Pregunta 52:</t>
  </si>
  <si>
    <t>IEM</t>
  </si>
  <si>
    <t>TAM</t>
  </si>
  <si>
    <t>As part of the Enterprise support plan, who is the primary point of contact for ongoing support needs?</t>
  </si>
  <si>
    <t>Pregunta 51:</t>
  </si>
  <si>
    <t>Amazon S3 can run any type of application or backend system</t>
  </si>
  <si>
    <t>Amazon S3 stores any number of objects, but with object size limits</t>
  </si>
  <si>
    <t>Amazon S3 provides 99.999999999% (11 9's) of data durability</t>
  </si>
  <si>
    <t>Amazon S3 can be scaled manually to store and retrieve any amount of data from anywhere</t>
  </si>
  <si>
    <t>Amazon S3 provides unlimited storage for any type of data</t>
  </si>
  <si>
    <t>Which of the following is not a benefit of Amazon S3? (Choose TWO)</t>
  </si>
  <si>
    <t>Pregunta 50:</t>
  </si>
  <si>
    <t>Vertical Scaling</t>
  </si>
  <si>
    <t>Multi-factor authentication</t>
  </si>
  <si>
    <t>Penetration testing</t>
  </si>
  <si>
    <t>The principle “design for failure and nothing will fail” is very important when designing your AWS Cloud architecture. Which of the following would help adhere to this principle? (Choose TWO)</t>
  </si>
  <si>
    <t>Pregunta 49:</t>
  </si>
  <si>
    <t>EC2 Instance Usage Report</t>
  </si>
  <si>
    <t>You have noticed that several critical Amazon EC2 instances have been terminated. Which of the following AWS services would help you determine who took this action?</t>
  </si>
  <si>
    <t>Pregunta 48:</t>
  </si>
  <si>
    <t>Encrypted keys</t>
  </si>
  <si>
    <t>AWS KMS</t>
  </si>
  <si>
    <t>Email verificatrion</t>
  </si>
  <si>
    <t>AWS MFA</t>
  </si>
  <si>
    <t>What is the AWS feature that provides an additional level of security above the default authentication mechanism of usernames and passwords?</t>
  </si>
  <si>
    <t>Pregunta 47:</t>
  </si>
  <si>
    <t>Amazon Connect</t>
  </si>
  <si>
    <t>Which service is used to ensure that messages between software components are not lost if one or more components fail?</t>
  </si>
  <si>
    <t>Pregunta 46:</t>
  </si>
  <si>
    <t>Deploy the application across multiple regions and availability zones</t>
  </si>
  <si>
    <t>Deploy the application across multiple availability zones and edge locations</t>
  </si>
  <si>
    <t>Deploy the application across multiple VPC's and subnets</t>
  </si>
  <si>
    <t>Deploy the application across multiple Availability Zones and Subnets</t>
  </si>
  <si>
    <t>A company has developed an eCommerce web application in AWS. What should they do to ensure that the application has the highest level of availability?</t>
  </si>
  <si>
    <t>Pregunta 45:</t>
  </si>
  <si>
    <t>Amazon EMR</t>
  </si>
  <si>
    <t>What is the AWS service that enables AWS architects to manage infrastructure as code?</t>
  </si>
  <si>
    <t>Pregunta 44:</t>
  </si>
  <si>
    <t>Amazon Elastic Map Reduce</t>
  </si>
  <si>
    <t>Amazon Elastic Compute Cloud</t>
  </si>
  <si>
    <t xml:space="preserve"> Amazon DynamoDB</t>
  </si>
  <si>
    <t>Which of the following are examples of AWS-Managed Services, where AWS is responsible for the operational and maintenance burdens of running the service? (Choose TWO)</t>
  </si>
  <si>
    <t>Pregunta 43:</t>
  </si>
  <si>
    <t>Adopt monolithic architecture</t>
  </si>
  <si>
    <t>Build security in every layer</t>
  </si>
  <si>
    <t>Implement elasticity</t>
  </si>
  <si>
    <t>Parallelize tasks</t>
  </si>
  <si>
    <t>Adjusting compute capacity dynamically to reduce cost is an implementation of which AWS cloud best practice?</t>
  </si>
  <si>
    <t>Pregunta 42:</t>
  </si>
  <si>
    <t>There are no cost benefits from using consolidated billing, It is for international purposed only</t>
  </si>
  <si>
    <t>The purchased instances will have better performance than On-demand instances</t>
  </si>
  <si>
    <t>All accounts can receive the hourly cost benefit of the Reserved Instances</t>
  </si>
  <si>
    <t>The reserved instance  discounts can only be shared with the master account</t>
  </si>
  <si>
    <t>You have set up consolidated billing for several AWS accounts. One of the accounts has purchased a number of reserved instances for 3 years. Which of the following is true regarding this scenario?</t>
  </si>
  <si>
    <t>Pregunta 41:</t>
  </si>
  <si>
    <t>Amazon Cognito</t>
  </si>
  <si>
    <t>Hundreds of thousands of DDoS attacks are recorded every month worldwide. What service does AWS provide to help protect AWS Customers from these attacks? (Choose TWO)</t>
  </si>
  <si>
    <t>Pregunta 40:</t>
  </si>
  <si>
    <t>What service provides DNS in the AWS Cloud?</t>
  </si>
  <si>
    <t>Pregunta 39:</t>
  </si>
  <si>
    <t>AWS Dedicated Hosts</t>
  </si>
  <si>
    <t>What is the AWS service that provides a virtual network dedicated to your AWS account?</t>
  </si>
  <si>
    <t>Pregunta 38:</t>
  </si>
  <si>
    <t>Amazon Kinesis Video Streams</t>
  </si>
  <si>
    <t>A company is planning to host an educational website on AWS. Their video courses will be streamed all around the world. Which of the following AWS services will help achieve high transfer speeds?</t>
  </si>
  <si>
    <t>Pregunta 37:</t>
  </si>
  <si>
    <t>You have deployed your application on multiple Amazon EC2 instances. Your customers complain that sometimes they can’t reach your application. Which AWS service allows you to monitor the performance of your EC2 instances to assist in troubleshooting these issues?</t>
  </si>
  <si>
    <t>Pregunta 36:</t>
  </si>
  <si>
    <t>When using on-demand instances, you are charged per second based on an hourly rate</t>
  </si>
  <si>
    <t>The on-demand instances follow the AWS pay-as-you-go pricing model</t>
  </si>
  <si>
    <t>With on-demand instances, no longer-term commitments or upgront payments are needed</t>
  </si>
  <si>
    <t>You have to pay a start-up fee when launching a new instance for the first time</t>
  </si>
  <si>
    <t>Which of the following is NOT correct regarding Amazon EC2 On-demand instances?</t>
  </si>
  <si>
    <t>Pregunta 35:</t>
  </si>
  <si>
    <t>Server-side encryption</t>
  </si>
  <si>
    <t>Configuring infraestructure devices</t>
  </si>
  <si>
    <t>Client-side encryption</t>
  </si>
  <si>
    <t>Filtering traffic with Security Groups</t>
  </si>
  <si>
    <t>Under the shared responsibility model, Which of the following is the AWS’ responsibility?</t>
  </si>
  <si>
    <t>Pregunta 34:</t>
  </si>
  <si>
    <t>User ID</t>
  </si>
  <si>
    <t>Secret token</t>
  </si>
  <si>
    <t>User name and password</t>
  </si>
  <si>
    <t>Access keys</t>
  </si>
  <si>
    <t>Which of the following must an IAM user provide to interact with AWS services using the AWS Command Line Interface (AWS CLI)?</t>
  </si>
  <si>
    <t>Pregunta 33:</t>
  </si>
  <si>
    <t>The AWS customers are only allowed to perform penetration testing on the services managed by AWS</t>
  </si>
  <si>
    <t>Penetration testing is performed automatically by AWS to determine vulnerabilities in your AWS insfraestructure</t>
  </si>
  <si>
    <t>Penetrating testing is not allowed in AWS</t>
  </si>
  <si>
    <t>Penetrating testing can be performed by the customer on their own instance without prior authorization from AWS</t>
  </si>
  <si>
    <t>The identification process of an online financial services company requires that new users must complete an online interview with their security team. The completed recorded interviews are only required in the event of a legal issue or a regulatory compliance breach. What is the most cost-effective service to store the recorded videos?</t>
  </si>
  <si>
    <t>Pregunta 32:</t>
  </si>
  <si>
    <t>Amazon DocumentDB</t>
  </si>
  <si>
    <t>A MySQL database installed on an EC2 Instance</t>
  </si>
  <si>
    <t>A developer is planning to build a two-tier web application that has a MySQL database layer. Which of the following AWS database services would provide automated backups for the application?</t>
  </si>
  <si>
    <t>Pregunta 31:</t>
  </si>
  <si>
    <t>What is the AWS database service that allows you to upload data structured in key-value format?</t>
  </si>
  <si>
    <t>Pregunta 30:</t>
  </si>
  <si>
    <t>Adding more RAM capacity to an EC2 Instance</t>
  </si>
  <si>
    <t>Replacing an EC2 instance with a larger, more powerful one</t>
  </si>
  <si>
    <t>Adding more EC2 instance of the same size to handle an increase in traffic</t>
  </si>
  <si>
    <t>Increasing the compute capacity of a single EC2 instance to address the growing demans of an application</t>
  </si>
  <si>
    <t>Which of the following is an example of horizontal scaling in the AWS Cloud?</t>
  </si>
  <si>
    <t>Pregunta 29:</t>
  </si>
  <si>
    <t>AWS Quick Start reference deployments</t>
  </si>
  <si>
    <t>What does AWS provide to deploy popular technologies - such as IBM MQ - on AWS with the least amount of effort and time?</t>
  </si>
  <si>
    <t>Pregunta 28:</t>
  </si>
  <si>
    <t>Ability to recover quickly from all failures</t>
  </si>
  <si>
    <t>Applying the principle of least privilege to all of its resources</t>
  </si>
  <si>
    <t>All AWS services are considered Global Services and this design helps customers serve their international users</t>
  </si>
  <si>
    <t>Providing compensation to customers if issues occur</t>
  </si>
  <si>
    <t>Automatically provisioning new resources to meet demand</t>
  </si>
  <si>
    <t>Which of the below options are related to the reliability of AWS? (Choose TWO)</t>
  </si>
  <si>
    <t>Pregunta 27:</t>
  </si>
  <si>
    <t>Provision a large computing capacity to handle any spikes in load</t>
  </si>
  <si>
    <t>Use AWS reservations to reduce costs when testing your production environment</t>
  </si>
  <si>
    <t>Automate whatever possible to make architectural experimentation easier</t>
  </si>
  <si>
    <t>Invest heavily in architecting your environment, as it is not easy to change your design later</t>
  </si>
  <si>
    <t>Which of the below is a best-practice when designing solutions on AWS?</t>
  </si>
  <si>
    <t>Pregunta 26:</t>
  </si>
  <si>
    <t>AWS allows users to manage their resources using a web based user interface. What is the name of this interface?</t>
  </si>
  <si>
    <t>Pregunta 25:</t>
  </si>
  <si>
    <t>Conctact the AWS Customer Service team</t>
  </si>
  <si>
    <t>Contact the AWS Abuse team</t>
  </si>
  <si>
    <t>Contact the AWS Concierge team</t>
  </si>
  <si>
    <t>Contact the AWS Security team</t>
  </si>
  <si>
    <t>You have AWS Basic support, and you have discovered that some AWS resources are being used maliciously, and those resources could potentially compromise your data. What should you do?</t>
  </si>
  <si>
    <t>Pregunta 24:</t>
  </si>
  <si>
    <t>A dashboard detailing vulnerabilities in your applications</t>
  </si>
  <si>
    <t>Published information about the current status and availability of all AWS services</t>
  </si>
  <si>
    <t>Recommendations for cost optimization</t>
  </si>
  <si>
    <t>Personalized view of AWS service health</t>
  </si>
  <si>
    <t>Detailed troubleshooting guidance to address AWS events impacting your resources</t>
  </si>
  <si>
    <t>What does the AWS Personal Health Dashboard provide? (Choose TWO)</t>
  </si>
  <si>
    <t>Pregunta 23:</t>
  </si>
  <si>
    <t>Concierge Support Team</t>
  </si>
  <si>
    <t>A company has moved to AWS recently. Which of the following AWS Services will help ensure that they have the proper security settings? (Choose TWO)</t>
  </si>
  <si>
    <t>Pregunta 22:</t>
  </si>
  <si>
    <t>Amazon Instance Store</t>
  </si>
  <si>
    <t>Which service provides object-level storage in AWS?</t>
  </si>
  <si>
    <t>Pregunta 21:</t>
  </si>
  <si>
    <t>Network as a Service (NaaS)</t>
  </si>
  <si>
    <t>Infraestructure as a Service (IaaS)</t>
  </si>
  <si>
    <t>Platform as a Service (PaaS)</t>
  </si>
  <si>
    <t>Sofware as a Service (SaaS)</t>
  </si>
  <si>
    <t>Which of the following does NOT belong to the AWS Cloud Computing models?</t>
  </si>
  <si>
    <t>Pregunta 20:</t>
  </si>
  <si>
    <t>AWS Marketplace</t>
  </si>
  <si>
    <t>S3 Intelligent-Tiering</t>
  </si>
  <si>
    <t>Pregunta 19:</t>
  </si>
  <si>
    <t>Amazon S3 Intelligent-Tiering</t>
  </si>
  <si>
    <t>Amazon S3 Standard-Infrequent Access</t>
  </si>
  <si>
    <t>Amazon S3 Glacier</t>
  </si>
  <si>
    <t>Which S3 storage class is best for data with unpredictable access patterns?</t>
  </si>
  <si>
    <t>Pregunta 18:</t>
  </si>
  <si>
    <t>AWS Data Centers</t>
  </si>
  <si>
    <t>AWS Global Accelerator</t>
  </si>
  <si>
    <t>AWS Edge Locations</t>
  </si>
  <si>
    <t>What does Amazon CloudFront use to distribute content to global users with low latency?</t>
  </si>
  <si>
    <t>Pregunta 17:</t>
  </si>
  <si>
    <t>Which of the following can be described as a global content delivery network (CDN) service?</t>
  </si>
  <si>
    <t>Pregunta 16:</t>
  </si>
  <si>
    <t>Security of the IaaS Services is the responsibilities of AWS</t>
  </si>
  <si>
    <t>Security of the managed services is the responsibility of the customer</t>
  </si>
  <si>
    <t>Responsibilities vary depending on the services used</t>
  </si>
  <si>
    <t>Patching de guest OS is always the responsibility of AWS</t>
  </si>
  <si>
    <t>Which statement is true regarding the AWS Shared Responsibility Model?</t>
  </si>
  <si>
    <t>Pregunta 15:</t>
  </si>
  <si>
    <t>AWS Support Concierge Service</t>
  </si>
  <si>
    <t>Infraestructure Event Management</t>
  </si>
  <si>
    <t>AWS Support API</t>
  </si>
  <si>
    <t>​ A company is introducing a new product to their customers, and is expecting a surge in traffic to their web application. As part of their Enterprise Support plan, which of the following provides the company with architectural and scaling guidance?</t>
  </si>
  <si>
    <t>Pregunta 14:</t>
  </si>
  <si>
    <t>AWS Certificate Manager</t>
  </si>
  <si>
    <t>Which of the following services allows customers to manage their agreements with AWS?</t>
  </si>
  <si>
    <t>Pregunta 13:</t>
  </si>
  <si>
    <t>Applying the Amazon Connect latency-based routing policy</t>
  </si>
  <si>
    <t>Building a new data center in the US and implementing a hybrid model</t>
  </si>
  <si>
    <t>Deploying new amazon EC2 instances in a region located in the US</t>
  </si>
  <si>
    <t>Registering a new US domain name to serve the users in the US</t>
  </si>
  <si>
    <t>A Japanese company hosts their applications on Amazon EC2 instances in the Tokyo Region. The company has opened new branches in the United States, and the US users are complaining of high latency. What can the company do to reduce latency for the users in the US while reducing costs?</t>
  </si>
  <si>
    <t>Pregunta 12:</t>
  </si>
  <si>
    <t>On-Demand instances</t>
  </si>
  <si>
    <t>You want to run a questionnaire application for only one day (without interruption), which Amazon EC2 purchase option should you use?</t>
  </si>
  <si>
    <t>Pregunta 11:</t>
  </si>
  <si>
    <t>Each AWS account gets volume discounts</t>
  </si>
  <si>
    <t>The consolidated billing feature is just for organizational purposes</t>
  </si>
  <si>
    <t>Each AWS account gets six times the free-tier services capacity</t>
  </si>
  <si>
    <t>AWS services costs will be reduced to half the original price</t>
  </si>
  <si>
    <t>What do you gain from setting up consolidated billing for five different AWS accounts under another master account?</t>
  </si>
  <si>
    <t>Pregunta 10:</t>
  </si>
  <si>
    <t>Allows updates of any monolithic application quickly and easily</t>
  </si>
  <si>
    <t>Reduces inter-dependencies so that failures do not impact other components of the application</t>
  </si>
  <si>
    <t>Allows tracking of any API call made to any AWS service</t>
  </si>
  <si>
    <t>Allows treating an application as a single, cohesive unit</t>
  </si>
  <si>
    <t>What is the advantage of the AWS-recommended practice of "decoupling" applications?</t>
  </si>
  <si>
    <t>Pregunta 9:</t>
  </si>
  <si>
    <t>AWS Auto Scaling</t>
  </si>
  <si>
    <t>A company is concerned that they are spending money on underutilized compute resources in AWS. Which AWS feature will help ensure that their applications are automatically adding/removing EC2 compute capacity to closely match the required demand?</t>
  </si>
  <si>
    <t>Pregunta 8:</t>
  </si>
  <si>
    <t>A catalog of third-party software solutions that customers need to build solutions and run their businesses</t>
  </si>
  <si>
    <t>A hybrid cloud storage between on-premises environments and the AWS Cloud</t>
  </si>
  <si>
    <t>An Exabyte-scale data transfer service that allows to move extremely large amounts of data to AWS</t>
  </si>
  <si>
    <t>Secure transfer of large amounts of data into and out of AWS Cloud</t>
  </si>
  <si>
    <t>What does AWS Snowball provice?</t>
  </si>
  <si>
    <t>Pregunta 7:</t>
  </si>
  <si>
    <t>ELB</t>
  </si>
  <si>
    <t>In order to implement best practices when dealing with a “Single Point of Failure,” you should attempt to build as much automation as possible in both detecting and reacting to failure. Which of the following AWS services would help? (Choose TWO)</t>
  </si>
  <si>
    <t>Pregunta 6:</t>
  </si>
  <si>
    <t>AWS trusted advisor</t>
  </si>
  <si>
    <t>A global company with a large number of AWS accounts is seeking a way in which they can centrally manage billing and security policies across all accounts. Which AWS Service will assist them in meeting these goals?</t>
  </si>
  <si>
    <t>Pregunta 5:</t>
  </si>
  <si>
    <t>Prevent any unauthorized access to AWS data centers</t>
  </si>
  <si>
    <t>Ensure that EBS data is encrypted at rest</t>
  </si>
  <si>
    <t>Regularly update firmware on EBS device</t>
  </si>
  <si>
    <t>Store a backup daily in an external drive</t>
  </si>
  <si>
    <t>Create EBS Snapshots</t>
  </si>
  <si>
    <t>What should you do in order to keep the data on EBS volumes safe? (Choose TWO)</t>
  </si>
  <si>
    <t>Pregunta 4:</t>
  </si>
  <si>
    <t>AWS Storage Gateway</t>
  </si>
  <si>
    <t>A company is deploying a new two-tier web application in AWS. Where should the most frequently accessed data be stored so that the application’s response time is optimal?</t>
  </si>
  <si>
    <t>Pregunta 3:</t>
  </si>
  <si>
    <t>VPC management</t>
  </si>
  <si>
    <t>Data Center operations</t>
  </si>
  <si>
    <t>Patch Management</t>
  </si>
  <si>
    <t>IAM management</t>
  </si>
  <si>
    <t>Configuration management</t>
  </si>
  <si>
    <t>Select TWO examples of the AWS shared controls.</t>
  </si>
  <si>
    <t>Pregunta 2:</t>
  </si>
  <si>
    <t>Dedicated Instances</t>
  </si>
  <si>
    <t>Spot Intances</t>
  </si>
  <si>
    <t>You are working on a project that involves creating thumbnails of millions of images. Consistent uptime is not an issue, and continuous processing is not required. Which EC2 buying option would be the most cost-effective?</t>
  </si>
  <si>
    <t>Pregunta 1:</t>
  </si>
  <si>
    <t>x</t>
  </si>
  <si>
    <t>AWS Cost Explorer is a free tool that you can use to view your costs and usage. You can view data up to the last 13 months, forecast how much you are likely to spend for the next three months, and get recommendations for what Reserved Instances to purchase. You can use AWS Cost Explorer to see patterns in how much you spend on AWS resources over time, identify areas that need further inquiry, and see trends that you can use to understand your costs. You can also specify time ranges for the data, and view time data by day or by month.
The other options are incorrect:
"By contacting the AWS Finance team" is incorrect. The AWS Finance Team provides data driven analysis, strategic decision support, financial planning, and controllership to teams that plan and build data centers, design and source servers, and develop and sell cloud services at massive scale to developers and businesses all over the world.
"By contacting the AWS Support team" is incorrect. The AWS support team will direct you to use AWS Cost Explorer.
"By using Amazon VPC console" is incorrect. You can use the Amazon Virtual Private Cloud console to launch AWS resources, such as Amazon EC2 instances. You can use it to specify an IP address range for the VPC, add subnets, associate security groups, and configure route tables.
References:
https://docs.aws.amazon.com/awsaccountbilling/latest/aboutv2/cost-explorer-what-is.html</t>
  </si>
  <si>
    <t>AWS Database Migration Service (DMS) helps you migrate databases to AWS easily and securely. The source database remains fully operational during the migration, minimizing downtime to applications that rely on the database. The AWS Database Migration Service can migrate your data to and from most widely used commercial and open-source databases. The service supports homogeneous migrations such as Oracle to Oracle, as well as heterogeneous migrations between different database platforms, such as Oracle to Amazon Aurora or Microsoft SQL Server to MySQL. It also allows you to stream data to Amazon Redshift from any of the supported sources including Amazon Aurora, PostgreSQL, MySQL, MariaDB, Oracle, SAP ASE, and SQL Server, enabling consolidation and easy analysis of data in the petabyte-scale data warehouse. AWS Database Migration Service can also be used for continuous data replication with high availability.   
The other options are incorrect:
"AWS OpsWorks" is incorrect. AWS OpsWorks is a configuration management service that provides managed instances of Chef and Puppet.
"AWS Server Migration Service" is incorrect. AWS Server Migration Service (SMS) is used to migrate your on-premises workloads to AWS.
"AWS Application Discovery Service" is incorrect. AWS Application Discovery Service helps enterprise customers plan migration projects by gathering information about their on-premises data centers.
References: 
https://d1.awsstatic.com/whitepapers/aws-overview.pdf</t>
  </si>
  <si>
    <t>In CloudWatch, you can set up a billing alarm that triggers if your costs exceed a threshold that you set. This CloudWatch alarm can also be configured to trigger an SNS notification to your email address. 
Additional information:
AWS Budgets is another AWS service that can be used in this scenario. AWS Budgets gives you the ability to set custom budgets that alert you when your costs or usage exceed (or are forecasted to exceed) your budgeted amount. The difference between AWS Budgets and Amazon CloudWatch billing alarms is that Amazon CloudWatch billing alarms alert you when your actual cost exceeds a certain threshold, while AWS Budgets can be configured to alert you when the actual or forecasted cost exceeds a certain threshold.
 The other options are incorrect:
"Configure the Amazon Simple Email Service to send an SNS billing notification to their email address" is incorrect. Amazon Simple Email Service (Amazon SES) is a cloud-based email sending service designed to help digital marketers and application developers send marketing, notification, and transactional emails. Amazon SES cannot be used to send SNS billing notifications.
"Configure the Amazon Connect Service to send an SNS billing notification to their email address" is incorrect. Amazon Connect is a self-service, cloud-based contact center service that makes it easy for any business to deliver better customer service at lower cost. Amazon Connect cannot be used to send SNS billing notifications.
"Setup a CloudTrail billing alarm that triggers an SNS notification to their email address" is incorrect. AWS CloudTrail is a service that enables governance, compliance, operational auditing, and risk auditing of your AWS account. You cannot use it to setup billing alarms.
References:
https://docs.aws.amazon.com/AmazonCloudWatch/latest/monitoring/monitor_estimated_charges_with_cloudwatch.html</t>
  </si>
  <si>
    <t>AWS Trusted Advisor is an online tool that provides you real time guidance to help you provision your resources following AWS best practices. AWS Trusted Advisor offers a rich set of best practice checks and recommendations across five categories: cost optimization; security; fault tolerance; performance; and service limits.
           AWS Trusted Advisor improves the security of your application by closing gaps, enabling various AWS security features, and examining your permissions.
The core security checks include: (Important)
1- Security Groups - Specific Ports Unrestricted.
Checks security groups for rules that allow unrestricted access to specific ports. Unrestricted access increases opportunities for malicious activity (hacking, denial-of-service attacks, loss of data).
2- Amazon S3 Bucket Permissions.
Checks buckets in Amazon Simple Storage Service (Amazon S3) that have open access permissions. Bucket permissions that grant List access to everyone can result in higher than expected charges if objects in the bucket are listed by unintended users at a high frequency. Bucket permissions that grant Upload/Delete access to everyone create potential security vulnerabilities by allowing anyone to add, modify, or remove items in a bucket. This check examines explicit bucket permissions and associated bucket policies that might override the bucket permissions.
3- MFA on Root Account.
Checks the root account and warns if multi-factor authentication (MFA) is not enabled. For increased security, AWS recommends that you protect your account by using MFA, which requires a user to enter a unique authentication code from their MFA hardware or virtual device when interacting with the AWS console and associated websites.
The other options are incorrect:
"AWS Shield" is incorrect. AWS Shield is a managed Distributed Denial of Service (DDoS) protection service that safeguards applications running on AWS.
"AWS Management Console" is incorrect. The AWS Management Console is used to access and manage Amazon Web Services through a simple and intuitive web-based user interface. The console itself doesn’t provide any recommendations.
"Amazon Aurora" is incorrect. Amazon Aurora is a database service.
References:
https://aws.amazon.com/premiumsupport/trustedadvisor/</t>
  </si>
  <si>
    <t>The customer is responsible for securing their network by configuring Security Groups, Network Access control Lists (NACLs), and Routing Tables. The customer is also responsible for setting a password policy on their AWS account that specifies the complexity and mandatory rotation periods for their IAM users' passwords.
The other options are incorrect:
"Disk disposal" is incorrect. Disk disposal ( Storage Device Decommissioning): When a storage device has reached the end of its useful life, AWS procedures include a decommissioning process that is designed to prevent customer data from being exposed to unauthorized individuals. All decommissioned magnetic storage devices are degaussed and physically destroyed in accordance with industry-standard practices.
"Controlling physical access to compute resources" is incorrect. AWS is responsible for controlling physical access to the data centers.
"Patching the Network infrastructure" is incorrect. Patching the underlying infrastructure is the responsibility of AWS. The customer is responsible for patching the Operating System of their EC2 instances and any software installed on these instances.
References:
https://aws.amazon.com/compliance/shared-responsibility-model/</t>
  </si>
  <si>
    <t>Convertible RIs provide a discount (up to 54% off On-Demand) and the capability to change the attributes of the RI as long as the exchange results in the creation of Reserved Instances of equal or greater value. These attributes include instance family, instance type, platform, scope, and tenancy.
The other options are incorrect:
"Standard RIs" is incorrect. Standard RIs provide the most significant discount (up to 75% off On-Demand) and are best suited for steady-state usage. Standard Reserved Instances are not modifiable
"Scheduled RIs" is incorrect. Scheduled RIs are available to launch within the time windows you reserve. This option allows you to match your capacity reservation to a predictable recurring schedule that only requires a fraction of a day, a week, or a month. Scheduled Reserved Instances are not modifiable
Elastic RI is not a valid RI type.
References:
https://aws.amazon.com/ec2/pricing/reserved-instances/</t>
  </si>
  <si>
    <t>An IAM group is a collection of IAM users that are managed as a unit. Groups let you specify permissions for multiple users, which can make it easier to manage the permissions for those users. For example, you could have a group called Admins and give that group the types of permissions that administrators typically need. Any user in that group automatically has the permissions that are assigned to the group. If a new user joins your organization and needs administrator privileges, you can assign the appropriate permissions by adding the user to that group. Similarly, if a person changes jobs in your organization, instead of editing that user's permissions, you can remove him or her from the old groups and add him or her to the appropriate new groups.
The other options are incorrect:
"IAM role" is incorrect. An IAM role is an IAM identity that you can create in your account that has specific permissions. IAM roles allow you to delegate access (for a limited time) to users or services that normally don't have access to your organization's AWS resources. IAM users or AWS services can assume a role to obtain temporary security credentials that can be used to interact with specific AWS resources. 
             You can use roles to delegate access to users, applications, or services that don't normally have access to your AWS resources. For example, you might want to grant users in your AWS account access to resources they don't usually have, or grant users in one AWS account access to resources in another account. Or you might want to allow a mobile app to use AWS resources, but not want to embed AWS keys within the app. Sometimes you want to give AWS access to users who already have identities defined outside of AWS, such as in your corporate directory. Or, you might want to grant access to your account to third parties so that they can perform an audit on your resources. For these scenarios, you can delegate access to AWS resources using an IAM role.
"IAM users" is incorrect. An IAM user is an entity that you create in AWS to represent the person or application that uses it to directly interact with AWS. A primary use for IAM users is to give people the ability to sign in to the AWS Management Console for interactive tasks and to make programmatic requests to AWS services using the API or CLI. A user in AWS consists of a name, a password to sign into the AWS Management Console, and up to two access keys that can be used with the API or CLI. When you create an IAM user, you grant it permissions by making it a member of a group that has appropriate permission policies attached (recommended), or by directly attaching policies to the user.
Additional information:
An IAM role is similar to an IAM user, in that it is an AWS identity with permission policies that determine what the identity can and cannot do in AWS. However, instead of being uniquely associated with one person, a role is intended to be assumable by anyone (or any service, application, ...etc) who needs it. Also, a role does not have standard long-term credentials such as a password or access keys associated with it. Instead, when you assume a role, it provides you with temporary security credentials for your role session. IAM roles are meant to be assumed by authorized entities, such as IAM users, applications, or an AWS service such as Amazon EC2.
"AWS Organizations" is incorrect. AWS Organizations can be used to group AWS accounts, not IAM users (the employees). AWS Organization helps you to centrally manage billing; control access, compliance, and security; and share resources across multiple AWS accounts.
References:
https://docs.aws.amazon.com/IAM/latest/UserGuide/id.html</t>
  </si>
  <si>
    <t>Amazon DynamoDB is a fast and flexible NoSQL database service for all applications that need consistent, single-digit millisecond latency at any scale. It is a fully managed cloud database and supports both document and key-value store models. Its flexible data model, reliable performance, and automatic scaling of throughput capacity, makes it a great fit for mobile, web, gaming, ad tech, IoT, and many other applications.
The other options are incorrect:
"Amazon Elastic Block Store" is incorrect. Amazon Elastic Block Store (Amazon EBS) is a storage service, NOT a database service.
"Amazon Aurora" is incorrect. Amazon Aurora doesn’t support NoSQL databases. Amazon Aurora is a MySQL and PostgreSQL-compatible relational database.
"Amazon Redshift" is incorrect. Amazon Redshift doesn’t support non-relational data. Amazon Redshift is a fully managed data warehouse service that allows you to run complex analytic queries against petabytes of structured data using standard SQL and your existing Business Intelligence (BI) tools.
References:
https://aws.amazon.com/dynamodb/</t>
  </si>
  <si>
    <t>All of the physical security are taken care of for you. Amazon data centers are surrounded by three physical layers of security. “Nothing can go in or out without setting off an alarm”. It’s important to keep bad guys out, but equally important to keep the data in which is why Amazon monitors incoming gear, tracking every disk that enters the facility. And “if it breaks we don’t return the disk for warranty. The only way a disk leaves our data center is when it’s confetti.”
               Most (not all) data and network security are taken care of for you. When we talk about the data/network security, AWS has a “shared responsibility model” where AWS and the customer share the responsibility of securing them. For example the customer is responsible for creating rules to secure his network traffic using the security groups and is also responsible for protecting data with encryption.
             "Increasing speed and agility" is also a correct answer because in a cloud computing environment, new IT resources are only a click away, which means it requires less time to make those resources available to developers - from weeks to just minutes. This results in a dramatic increase in agility for the organization, since the cost and time it takes to experiment and develop is significantly lower.
The other options are incorrect:
"Gaining complete control over the physical infrastructure" is incorrect. The Physical infrastructure is a responsibility of AWS, not the customer.
"Operating applications on behalf of customers" is incorrect. AWS customers are responsible for building and operating their applications.
"There is no need to worry about security" is incorrect. As mentioned above, security is a shared responsibility between AWS and the customer. For example, the customer has to manage who can access and use AWS resources using the IAM service.
References:
https://docs.aws.amazon.com/aws-technical-content/latest/aws-overview/six-advantages-of-cloud-computing.html</t>
  </si>
  <si>
    <t>Amazon Relational Database Service (Amazon RDS) makes it easy to set up, operate, and scale a relational database in the cloud. It provides cost-efficient, resizable capacity while automating time-consuming administration tasks such as hardware provisioning, operating system maintenance, database setup, patching and backups. It frees you to focus on your applications so you can give them the fast performance, high availability, security and compatibility they need.
        Amazon RDS can be used to host Amazon Aurora, PostgreSQL, MySQL, MariaDB, Oracle, and SQL Server databases.
The other options are incorrect:
"Amazon Redshift" is incorrect. Amazon Redshift is not a MySQL database service. Amazon Redshift is a fully managed data warehouse service that makes it simple and cost-effective to analyze all your data using standard SQL and your existing Business Intelligence (BI) tools.
"Amazon DynamoDB" is incorrect. Amazon DynamoDB is not a MySQL database service. Amazon DynamoDB is a fully managed NoSQL database service.
"Amazon CloudWatch" is incorrect. Amazon CloudWatch is not a database service. Amazon CloudWatch is a monitoring service that gives you complete visibility of your cloud resources and applications
References:
https://aws.amazon.com/rds/</t>
  </si>
  <si>
    <t>Before cloud computing, you had to overprovision infrastructure to ensure you had enough capacity to handle your business operations at the peak level of activity. Now, you can provision the amount of resources that you actually need, knowing you can instantly scale up or down with the needs of your business. This reduces costs and improves your ability to meet your users’ demands.
              The concept of Elasticity involves the ability of a service to scale its resources out or in (up or down) based on changes in demand. For example, Amazon EC2 Autoscaling can help automate the process of adding or removing Amazon EC2 instances as demand increases or decreases.
The other options are incorrect:
"By reducing interdependencies between application components wherever possible" is incorrect. Reducing interdependencies between application components is much more related to the concept of “Loose Coupling”. Loose coupling is an approach that involves interconnecting the components in a system or network so that those components depend on each other to the least extent practical. Engineers should architect their system or application such that failure in one component does not negatively affect other components. Loosely coupled components make the system resilient and allow it to recover gracefully from failure.
"By automatically scaling your on-premises resources based on changes in demand" is incorrect. It is not possible to scale on-premises resources automatically. When deploying on-premises, you have to guess on your infrastructure capacity needs.
"By automatically scaling your AWS resources using an Elastic Load Balancer" is incorrect. Elastic Load Balancers do not scale resources. Elastic Load Balancers distributes incoming application traffic across multiple targets, such as Amazon EC2 instances, containers, IP addresses, and Lambda functions.
References:
https://aws.amazon.com/ec2/autoscaling/
https://wa.aws.amazon.com/wat.concept.elasticity.en.html</t>
  </si>
  <si>
    <t>Included as part of the Enterprise Support plan, the Support Concierge Team are AWS billing and account experts that specialize in working with enterprise accounts. The Concierge team will quickly and efficiently assist you with your billing and account inquiries, and work with you to help implement billing and account best practices so that you can focus on running your business.
Support Concierge service includes:
** 24 x7 access to AWS billing and account inquires.
** Guidance and best practices for billing allocation, reporting, consolidation of accounts, and root-level account security.
** Access to Enterprise account specialists for payment inquiries, training on specific cost reporting, assistance with service limits, and facilitating bulk purchases.
 The other options are incorrect:
"AWS Direct Connect" is incorrect. AWS Direct Connect is a cloud service solution that is used to establish a dedicated network connection between your on-premises networks and AWS.
"AWS Operations Support" is incorrect. AWS Operations Support is an Enterprise support program that provides operations assessments and analysis to identify gaps across the operations lifecycle, as well as recommendations based on best practices.
"AWS Personal Health Dashboard" is incorrect. AWS Personal Health Dashboard provides a personalized view of the health of the specific services that are powering your workloads and applications. What’s more, Personal Health Dashboard proactively notifies you when AWS experiences any events that may affect you, helping provide quick visibility and guidance to minimize the impact of events in progress, and plan for any scheduled changes, such as AWS hardware maintenance.
References
https://aws.amazon.com/premiumsupport/features/
https://aws.amazon.com/premiumsupport/plans/enterprise/</t>
  </si>
  <si>
    <t>The AWS Cost &amp; Usage Report is your one-stop shop for accessing the most detailed information available about your AWS costs and usage.The AWS Cost &amp; Usage Report lists AWS usage for each service category used by an account and its IAM users in hourly or daily line items, as well as any tags that you have activated for cost allocation purposes.
The other options are incorrect:
"AWS Pricing Calculator" is incorrect. AWS Pricing Calculator is a web service that you can use to estimate the cost for your AWS monthly bill based on your expected usage.
"AWS Systems Manager" is incorrect. AWS Systems Manager provides a unified user interface so you can view operational data from multiple AWS services and allows you to automate operational tasks across your AWS resources.
"AWS Budgets" is incorrect. AWS Budgets gives you the ability to set custom budgets that alert you when your costs or usage exceed (or are forecasted to exceed) your budgeted amount.
References:
https://aws.amazon.com/aws-cost-management/aws-cost-and-usage-reporting/</t>
  </si>
  <si>
    <t>The principle of least privilege is one of the most important security practices and it means granting users the required permissions to perform the tasks entrusted to them and nothing more. The security administrator determines what tasks users need to perform and then attaches the policies that allow them to perform only those tasks. You should start with a minimum set of permissions and grant additional permissions when necessary. Doing so is more secure than starting with permissions that are too lenient and then trying to tighten them down.
References:
https://docs.aws.amazon.com/IAM/latest/UserGuide/best-practices.html#grant-least-privilege</t>
  </si>
  <si>
    <t>For Enterprise-level customers, a TAM (Technical Account Manager) provides technical expertise for the full range of AWS services and obtains a detailed understanding of your use case and technology architecture. TAMs work with AWS Solution Architects to help you launch new projects and give best practices recommendations throughout the implementation life cycle. Your TAM is the primary point of contact for ongoing support needs, and you have a direct telephone line to your TAM.
The other options are incorrect:
IEM is incorrect. AWS Infrastructure Event Management (IEM) is a structured program available to Enterprise Support customers (and Business Support customers for an additional fee) that helps you plan for large-scale events such as product or application launches, infrastructure migrations, and marketing events. With Infrastructure Event Management, you get strategic planning assistance before your event, as well as real-time support during these moments that matter most for your business.
IAM is incorrect. IAM refers to the AWS Identity and Access Management service.
EFS is incorrect. EFS refers to the Amazon Elastic File System service. 
References:
https://aws.amazon.com/premiumsupport/plans/</t>
  </si>
  <si>
    <t>"Amazon S3 can run any type of application or backend system" is not a benefit of S3 and thus is a correct answer. Amazon S3 is a storage service not a compute service.
"Amazon S3 can be scaled manually to store and retrieve any amount of data from anywhere" is not a benefit of S3 and thus is a correct answer. Amazon S3 scales automatically to store and retrieve any amount of data from anywhere.
         Companies today need the ability to simply and securely collect, store, and analyze their data at a massive scale. Amazon S3 is object storage built to store and retrieve any amount of data from anywhere – web sites and mobile apps, corporate applications, and data from IoT sensors or devices.  It’s a simple storage service that offers highly available, and infinitely scalable data storage infrastructure at very low costs. It is designed to deliver 99.999999999% durability, and stores data for millions of applications used by market leaders in every industry. S3 provides comprehensive security and compliance capabilities that meet even the most stringent regulatory requirements. It gives customers flexibility in the way they manage data for cost optimization, access control, and compliance. S3 provides query-in-place functionality, allowing you to run powerful analytics directly on your data at rest in S3. And Amazon S3 is the most supported cloud storage service available, with integration from the largest community of third-party solutions, systems integrator partners, and other AWS services.
       Amazon S3 stores any number of objects, but each object does have a size limitation. Individual Amazon S3 objects can range in size from a minimum of 0 bytes to a maximum of 5 terabytes.
References:
https://aws.amazon.com/s3/</t>
  </si>
  <si>
    <t>Each AWS Region is a separate geographic area. Each AWS Region has multiple, isolated locations known as Availability Zones. When designing your AWS Cloud architecture, you should make sure that your system will continue to run even if failures happen. You can achieve this by deploying your AWS resources in multiple Availability zones. Availability zones are isolated from each other; therefore, if one availability zone goes down, the other Availability Zones will still be up and running, and hence your application will be more fault-tolerant. In addition to availability zones, you can build a disaster recovery solution by deploying your AWS resources in other regions. If an entire region goes down, you will still have resources in another region able to continue to provide a solution. Finally, you can use the Elastic Load Balancing service to regularly perform health checks and distribute traffic only to healthy instances.
The other options are incorrect:
"Multi-factor authentication" is incorrect. AWS Multi-Factor Authentication (MFA) is a simple best practice that adds an extra layer of protection on top of your user name and password. Multi-Factor Authentication is much more related to security, not fault tolerance.
"Penetration testing" is incorrect. Penetration testing is the practice of testing a network or web application to find security vulnerabilities that an attacker could exploit. Penetration testing is much more related to security, not fault tolerance.
"Vertical Scaling" is incorrect. A "vertically scalable" system is constrained to running its processes on only one computer; in such systems, the only way to increase performance is to add more resources into one computer in the form of faster (or more) CPUs, memory, or storage. Vertical scaling may improve performance, but not fault-tolerance; because if this "one computer" fails, the whole system will fail.
References:
https://docs.aws.amazon.com/AWSEC2/latest/UserGuide/using-regions-availability-zones.html
https://aws.amazon.com/elasticloadbalancing/</t>
  </si>
  <si>
    <t>AWS CloudTrail is a service that enables governance, compliance, operational auditing, and risk auditing of your AWS account. With CloudTrail, you can log, continuously monitor, and retain account activity related to actions across your AWS infrastructure. CloudTrail provides event history of your AWS account activity, including actions taken through the AWS Management Console, AWS SDKs, command line tools, and other AWS services. This event history simplifies security analysis, resource change tracking, and troubleshooting.
The other options are incorrect:
"Amazon Inspector" is incorrect. Amazon Inspector is an automated security assessment service that helps improve the security and compliance of applications deployed on AWS.
"EC2 Instance Usage Report" is incorrect. This report shows you your historical EC2 instance usage, and helps you plan for future EC2 usage. EC2 Instance Usage Reports are designed to make it easier for you to track and better manage your EC2 usage and spending.
"AWS Trusted Advisor" is incorrect. AWS Trusted Advisor is an online tool that provides real time guidance to help you provision your resources following AWS best practices.
References:
https://aws.amazon.com/cloudtrail/</t>
  </si>
  <si>
    <t>AWS Multi-Factor Authentication (MFA) is a simple best practice that adds an extra layer of protection on top of using just your user name and password to authenticate.
The other options are incorrect:
"Encrypted keys" is incorrect. Logging into the AWS management console doesn’t require encrypted keys.
"Email verification" is incorrect. Email verification is the process of verifying your ownership of an account’s e-mail address.
"AWS KMS" is incorrect. AWS Key Management Service (AWS KMS) is a managed service that makes it easy for you to create and control the encryption keys used to encrypt your data.
References:
https://aws.amazon.com/iam/details/mfa/</t>
  </si>
  <si>
    <t>Amazon Simple Queue Service (SQS) is a fully managed message queuing service that enables you to send, store, and receive messages between software components at any volume, without losing messages or requiring other services to be available. SQS lets you decouple application components so that they run independently, increasing the overall fault tolerance of the system. Multiple copies of every message are stored redundantly across multiple availability zones so that they are available whenever needed.
The other options are incorrect:
Amazon SES is incorrect. Amazon SES (Amazon Simple Email Service) is a flexible, affordable, and highly-scalable email messaging platform for businesses and developers.
Amazon Connect is incorrect. Amazon Connect is a cloud-based contact center service that makes it easy for businesses to deliver customer service at low cost.
AWS Direct Connect is incorrect. AWS Direct Connect is a cloud service solution that is used to establish a dedicated network connection between your premises and AWS.
References:
https://d1.awsstatic.com/whitepapers/aws-overview.pdf</t>
  </si>
  <si>
    <t>The AWS Global infrastructure is built around Regions and Availability Zones (AZs). Each AWS Region is a separate geographic area. Each AWS Region has multiple, isolated locations known as Availability Zones. Availability Zones in a region are connected with low latency, high throughput, and highly redundant networking. These Availability Zones offer AWS customers an easier and more effective way to design and operate applications and databases, making them more highly available, fault tolerant, and scalable than traditional single datacenter infrastructures or multi-datacenter infrastructures.
          In addition to replicating applications and data across multiple data centers in the same Region using Availability Zones, you can also choose to increase redundancy and fault tolerance further by replicating data between geographic Regions (especially if you are serving customers from all over the world). You can do so using both private, high speed networking and public internet connections to provide an additional layer of business continuity, or to provide low latency access across the globe.
The other options are incorrect:
"Deploy the application across multiple Availability Zones and subnets" is incorrect. A subnet is a range of IP addresses in your VPC.
"Deploy the application across multiple Availability Zones and Edge locations" is incorrect. Edge locations are not used to host applications. Edge locations are used by CloudFront to cache and distribute content to your global customers with low latency.
"Deploy the application across multiple VPC’s and subnets" is incorrect. VPC refers to the virtual private cloud which is a virtual network that you define. Deploying the application across multiple VPC’s within the same region will not help your global customers.
References:
https://aws.amazon.com/about-aws/global-infrastructure/</t>
  </si>
  <si>
    <t>AWS CloudFormation allows you to use programming languages or a simple text file to model and provision, in an automated and secure manner, all the resources needed for your applications across all regions and accounts. You create a template that describes all the AWS resources that you want (like Amazon EC2 instances or Amazon RDS DB instances), and AWS CloudFormation takes care of provisioning and configuring those resources for you. You don't need to individually create and configure AWS resources and figure out what's dependent on what; AWS CloudFormation handles all that for you.
The other options are incorrect:
"Amazon SES" is incorrect. Amazon SES refers to the Amazon Simple Email service.
"AWS Config" is incorrect. AWS Config is a service that enables you to assess, audit, and evaluate the configurations of your AWS resources.
"Amazon EMR" is incorrect. Amazon EMR is used to run and scale Apache Spark, Hadoop, Presto, and other Big Data Frameworks.
References:
https://docs.aws.amazon.com/AWSCloudFormation/latest/UserGuide/Welcome.html</t>
  </si>
  <si>
    <t>For managed services such as Amazon Elastic MapReduce (Amazon EMR) and DynamoDB, AWS is responsible for performing all the operations needed to keep the service running.
           Amazon EMR launches clusters in minutes. You don’t need to worry about node provisioning, infrastructure setup, Hadoop configuration, or cluster tuning. Amazon EMR takes care of these tasks so you can focus on analysis.
          DynamoDB is serverless with no servers to provision, patch, or manage and no software to install, maintain, or operate. DynamoDB automatically scales tables up and down to adjust for capacity and maintain performance. Availability and fault tolerance are built in, eliminating the need to architect your applications for these capabilities.
          Other managed services include: AWS Lambda, Amazon RDS, Amazon Redshift, Amazon CloudFront, and several other services.
           For these managed services, AWS is responsible for most of the configuration and management tasks, but customers are still responsible for managing their data (including encryption options), classifying their assets, and using IAM tools to apply the appropriate permissions.
NOTE:
            The AWS managed services we mentioned above are different than the AWS Managed Services (AMS) service. AMS is an AWS service that operates AWS on behalf of enterprise customers and partners. Enterprises want to adopt AWS at scale but often the skills that have served them well in traditional IT do not always translate to success in the cloud. AWS Managed Services (AMS) enables them to migrate to AWS at scale more quickly, reduce their operating costs, improve security and compliance and focus on their differentiating business priorities.
The other options are incorrect:
"Amazon VPC" is incorrect. Amazon Virtual Private Cloud (Amazon VPC) lets you provision a logically isolated section of the AWS Cloud where you can launch AWS resources in a virtual network that you define. You have complete control over your virtual networking environment. Amazon VPC is not a managed service, you are responsible for managing almost everything when using the Amazon VPC service.
"Amazon Elastic Compute Cloud" is incorrect. Amazon Elastic Compute Cloud (Amazon EC2) is a service that gives you complete control over your compute resources. Apart from patching the underlying host - which is the responsibility of AWS - you are responsible for managing almost everything in your server instances when using Amazon EC2.
"AWS IAM" is incorrect. AWS Identity and Access Management (IAM) enables you to manage access to AWS services and resources securely. Using IAM, you can create and manage AWS users and groups, and use permissions to allow and deny their access to AWS resources.
References:
https://aws.amazon.com/dynamodb/
https://aws.amazon.com/emr/</t>
  </si>
  <si>
    <t>In the traditional data center-based model of IT, once infrastructure is deployed, it typically runs whether it is needed or not, and all the capacity is paid for, regardless of how much it gets used. In the cloud, resources are elastic, meaning they can instantly grow ( to maintain performance) or shrink ( to reduce costs).
The other options are incorrect.
"Adopt monolithic architecture" is incorrect. AWS recommends adopting microservices architecture, not monolithic architecture. With monolithic architectures, application components are tightly coupled and run as a single service. With a microservices architecture, an application is built as loosely coupled components.
Benefits of microservices architecture include:
1- Microservices allow each service to be independently scaled to meet demand for the application feature it supports.
2- Teams are empowered to work more independently and more quickly.
3- Microservices enable continuous integration and continuous delivery, making it easy to try out new ideas and to roll back if something doesn’t work.
4- Service independence increases an application’s resistance to failure. In a monolithic architecture, if a single component fails, it can cause the entire application to fail. With microservices, applications handle total service failure by degrading functionality and not crashing the entire application.
"Parallelize tasks" is incorrect. An example of parallelization is when you use a load balancer to distribute the incoming requests across multiple asynchronous instances or when you use the AWS multipart upload to upload large objects in parts. Adjusting capacity up or down based on demand defines the AWS Cloud elasticity not the parallelization.
"Build Security in every layer" is incorrect. This option is related to security.
References:
https://wa.aws.amazon.com/wat.concept.elasticity.en.html
http://aws001.s3.amazonaws.com/trailhead/TrailHead_ArchitectingInTheCloud.pdf</t>
  </si>
  <si>
    <t>For billing purposes, the consolidated billing feature of AWS Organizations treats all the accounts in the organization as one account. This means that all accounts in the organization can receive the hourly cost benefit of Reserved Instances that are purchased by any other account. For example, Suppose that Fiona and John each have an account in an organization. Fiona has five Reserved Instances of the same type, and John has none. During one particular hour, Fiona uses three instances and John uses six, for a total of nine instances on the organization's consolidated bill. AWS bills five instances as Reserved Instances, and the remaining four instances as On-demand instances.
The other options are incorrect:
"The purchased instances will have better performance than On-demand instances" is incorrect. There is no difference in performance between On-demand and Reserved instances of the same type.
"The Reserved Instance discounts can only be shared with the master account" is incorrect. The Reserved Instance discounts can be shared with all accounts in the organization.
"There are no cost benefits from using consolidated billing; It is for informational purposes only" is incorrect. With Consolidated Billing, you can combine the usage across all accounts in the organization to share the Reserved Instance discounts, volume pricing discounts, and Savings Plans. This can result in a lower charge for your project, department, or company than with individual standalone accounts.
References:
https://docs.aws.amazon.com/aws-technical-content/latest/cost-optimization-reservation-models/consolidated-billing.html
https://aws.amazon.com/organizations/</t>
  </si>
  <si>
    <t>AWS provides flexible infrastructure and services that help customers implement strong DDoS mitigations and create highly available application architectures that follow AWS Best Practices for DDoS Resiliency. These include services such as Amazon Route 53, Amazon CloudFront, Elastic Load Balancing, and AWS WAF to control and absorb traffic, and deflect unwanted requests. These services integrate with AWS Shield, a managed DDoS protection service that provides always-on detection and automatic inline mitigations to safeguard web applications running on AWS.
The other options are incorrect:
"Amazon Cognito" is incorrect. Amazon Cognito allows you to add user sign-up, sign-in, and access control to your web and mobile apps quickly and easily.
"AWS KMS" is incorrect. AWS KMS provides a highly available key storage, management, and auditing solution for you to encrypt data within your own applications and control the encryption of stored data across AWS services.
"AWS Config" is incorrect. AWS Config is a service that enables you to monitor, assess, and audit all changes made to your AWS resources.
References:
https://aws.amazon.com/answers/networking/aws-ddos-attack-mitigation/</t>
  </si>
  <si>
    <t>Amazon Route 53 is a global service that provides highly available and scalable Domain Name System (DNS) services, domain name registration, and health-checking web services. It is designed to give developers and businesses an extremely reliable and cost effective way to route end users to Internet applications by translating names like example.com into the numeric IP addresses, such as 192.0.2.1, that computers use to connect to each other.
Route 53 also simplifies the hybrid cloud by providing recursive DNS for your Amazon VPC and on-premises networks over AWS Direct Connect or AWS VPN.
The other options are incorrect:
Amazon EMR is incorrect. EMR is used to process vast amounts of data easily and securely. Use cases include: big data,log analysis, web indexing, data transformations (ETL), machine learning, financial analysis, scientific simulation, and bioinformatics.
AWS Config is incorrect. AWS Config is a fully managed service that provides you with an AWS resource inventory, configuration history, and configuration change notifications to enable security and governance.
Amazon CloudFront is incorrect. Amazon CloudFront gives businesses and web application developers an easy and cost effective way to distribute content globally with low latency and high data transfer speeds.
References:
https://aws.amazon.com/route53/</t>
  </si>
  <si>
    <t xml:space="preserve"> Amazon Virtual Private Cloud (Amazon VPC) allows you to carve out a portion of the AWS Cloud that is dedicated to your AWS account. Amazon VPC enables you to launch AWS resources into a virtual network that you've defined. This virtual network closely resembles a traditional network that you'd operate in your own data center, with the benefits of using the scalable infrastructure of AWS.
The other options are incorrect:
"AWS Dedicated Hosts" is incorrect. An Amazon EC2 Dedicated Host is a physical server with EC2 instance capacity fully dedicated to your use. Dedicated Hosts can save you money by enabling you to leverage your existing server-bound software license investments (e.g., Windows Server, Windows SQL Server, and SUSE Linux Enterprise Server) within EC2, subject to your license terms. Dedicated Hosts also give you more flexibility, visibility, and control over the placement of instances on dedicated hardware. This makes it easier to ensure you deploy your instances in a way that meets your compliance and regulatory requirements.
"AWS VPN" is incorrect. AWS Virtual Private Network (AWS VPN) allows you to establish a secure and private tunnel from your network or device to the AWS global network.
"AWS Subnets" is incorrect. A subnet is a range of IP addresses within a VPC.
References:
https://aws.amazon.com/vpc/</t>
  </si>
  <si>
    <t xml:space="preserve"> Amazon CloudFront is a fast content delivery network (CDN) service that securely delivers data, videos, applications, and APIs to customers globally with low latency, high transfer speeds, all within a developer-friendly environment.
The use cases of Amazon CloudFront include:
1- Accelerate static website content delivery.
CloudFront can speed up the delivery of your static content (for example, images, style sheets, JavaScript, and so on) to viewers across the globe. By using CloudFront, you can take advantage of the AWS backbone network and CloudFront edge servers to give your viewers a fast, safe, and reliable experience when they visit your website.
2- Live &amp; on-demand video streaming.
The Amazon CloudFront CDN offers multiple options for streaming your media – both pre-recorded files and live events – at sustained, high throughput required for 4K delivery to global viewers.
 3- Security.
CloudFront integrates seamlessly with AWS Shield for Layer 3/4 DDoS mitigation and AWS WAF for Layer 7 protection.
4- Customizable content delivery with Lambda@Edge.
Lambda@Edge is a feature of Amazon CloudFront that lets you run code closer to users of your application, which improves performance and reduces latency.
The other options are incorrect:
"AWS CloudFormation" is incorrect. AWS CloudFormation allows you to use programming languages or a simple text file to model and provision, in an automated and secure manner, all the resources needed for your applications across all regions and accounts.
"Amazon Kinesis Video Streams" is incorrect. Amazon Kinesis Video Streams enables you to securely stream video from connected devices (IoT devices) to AWS for analytics, machine learning (ML), playback, and other processing. Kinesis Video Streams automatically provisions and elastically scales all the infrastructure needed to ingest streaming video data from millions of devices. It durably stores, encrypts, and indexes video data in your streams, and allows you to access your data through easy-to-use APIs.
"Amazon SNS" is incorrect. Amazon Simple Notification Service (SNS) is a fully managed pub/sub messaging service that enables you to decouple microservices, distributed systems, and serverless applications. Using Amazon SNS topics, your publisher systems can fan out messages to a large number of subscriber endpoints for parallel processing, including AWS Lambda functions, and HTTP/S webhooks. Additionally, SNS can be used to fan out notifications to end users using mobile push, SMS, and email.
References:
https://aws.amazon.com/cloudfront/</t>
  </si>
  <si>
    <t>Amazon CloudWatch is a service that monitors AWS cloud resources and the applications you run on AWS. You can use Amazon CloudWatch to collect and track metrics, collect and monitor log files, set alarms, and automatically react to changes in your AWS resources. Amazon CloudWatch can monitor AWS resources such as Amazon EC2 instances, Amazon DynamoDB tables, and Amazon RDS DB instances, as well as custom metrics generated by your applications and services, and any log files your applications generate. You can use CloudWatch to detect anomalous behavior in your environments, take automated actions, troubleshoot issues, and discover insights to keep your applications running smoothly.
The other options are incorrect:
AWS Config is incorrect. AWS Config is a fully managed service that provides you with an AWS resource inventory, configuration history, and configuration change notifications to enable security and governance. With AWS Config you can discover existing AWS resources, export a complete inventory of your AWS resources with all configuration details, and determine how a resource was configured at any point in time. These capabilities enable compliance auditing, security analysis, and resource change tracking.
AWS CloudTrail is incorrect. AWS CloudTrail is an AWS service that can be used to monitor all user interactions with the AWS environment.
AWS Lambda is incorrect. AWS Lambda is a serverless compute service.
References:
https://aws.amazon.com/cloudwatch/</t>
  </si>
  <si>
    <t>There are no startup or termination fees associated with Amazon EC2.
The other options are incorrect:
"The on-demand instances follow the AWS pay-as-you-go pricing model" is incorrect. AWS pay-as-you-go pricing model is similar to how you pay for utilities like water and electricity. With Amazon EC2 on-demand instances, you only pay for the compute capacity you consume, and once you stop using them, there are no additional costs or termination fees.
"With on-demand instances, no longer-term commitments or upfront payments are needed" is incorrect. With On-Demand instances, you pay for compute capacity by the hour or the second depending on which instances you run. No longer-term commitments or upfront payments are needed.
"When using on-demand Linux instances, you are charged per second based on an hourly rate" is incorrect. With per-second billing, you pay for only what you use. It takes cost of unused minutes and seconds in an hour off of the bill, so you can focus on improving your applications instead of maximizing usage to the hour. Especially, if you manage instances running for irregular periods of time, such as dev/testing, data processing, analytics, batch processing and gaming applications, can benefit.
Per-second billing is available for instances launched in:
- On-Demand, Reserved and Spot forms
- All regions and Availability Zones
- Amazon Linux and Ubuntu
References:
https://aws.amazon.com/ec2/pricing/</t>
  </si>
  <si>
    <t>Under the shared responsibility model, AWS is responsible for the hardware and software that run AWS services. This includes patching the infrastructure software and configuring infrastructure devices. As a customer, you are responsible for implementing best practices for data encryption, patching guest operating system and applications, identity and access management, and network &amp; firewall configurations.
The other options are incorrect.
"Filtering traffic with Security Groups" is incorrect. The AWS Customer is responsible for all network and firewall configurations, including the configuration of Security Groups, Network Access Control Lists (NACLs), and Routing tables.
"Client-side encryption" and "Server-side encryption" are incorrect. Data encryption is the responsibility of the customer.
Additional information:
AWS offers a lot of services and features that help AWS customers protect their data in the cloud. Customers can protect their data by encrypting it in transit and at rest. They can use Cloudtrail to log API and user activity, including who, what, and from where calls were made. They can also use the AWS Identity and Access Management (IAM) to control who can access or edit their data.
References:
https://aws.amazon.com/compliance/shared-responsibility-model/</t>
  </si>
  <si>
    <t>Explicación
           Access keys consist of an access key ID and secret access key, which are used to sign programmatic requests to AWS using the CLI or the SDK.
References:
https://docs.aws.amazon.com/IAM/latest/UserGuide/id_credentials_access-keys.html</t>
  </si>
  <si>
    <t>AWS customers are welcome to carry out security assessments and penetration tests against their AWS infrastructure without prior approval for 8 services:
1- Amazon EC2 instances, NAT Gateways, and Elastic Load Balancers.
2- Amazon RDS.
3- Amazon CloudFront.
4- Amazon Aurora.
5- Amazon API Gateways.
6- AWS Lambda and Lambda Edge functions.
7- Amazon Lightsail resources.
8- Amazon Elastic Beanstalk environments.
The other options are incorrect.
"Penetration testing is performed automatically by AWS to determine vulnerabilities in your AWS infrastructure" is incorrect. The AWS customers are responsible for performing penetration tests against their AWS infrastructure.
"Penetration testing is not allowed in AWS" is incorrect. AWS customers are allowed to perform penetration tests against their AWS infrastructure, but they must ensure that their activities are aligned with AWS policies.
"The AWS customers are only allowed to perform penetration testing on services managed by AWS" is incorrect. AWS customers are allowed to perform penetration testing on both AWS-managed services such as Amazon RDS and customer-managed services such as Amazon EC2.
Additional information:
The difference between AWS-managed services and customer-managed services:
For AWS-managed services such as Amazon RDS and Amazon DynamoDB, AWS is responsible for performing all the operations needed to keep the service running.
The AWS-managed services automate time-consuming administration tasks such as hardware provisioning, software setup, patching and backups. The AWS-managed services free customers to focus on their applications so they can give them the fast performance, high availability, security and compatibility they need.
Examples of AWS-managed services include Amazon RDS, Amazon DynamoDB, Amazon Redshift, Amazon WorkSpaces, Amazon CloudFront, Amazon CloudSearch, and several other services.
On the other hand, customer-managed services are services that are completely managed by the customer. For example, a service such as Amazon Elastic Compute Cloud (Amazon EC2) is categorized as Infrastructure as a Service (IaaS) and, as such, requires the customer to perform all of the necessary security configuration and management tasks. Customers that deploy an Amazon EC2 instance are responsible for the management of the guest operating system (including updates and security patches), any application software or utilities installed by the customer on the instances, and the configuration of the AWS-provided firewall (called a security group) on each instance.
Examples of customer-managed services include Amazon Elastic Compute Cloud (Amazon EC2), Amazon Virtual Private Cloud (Amazon VPC), and AWS Identity And Access Management (AWS IAM).
References: 
https://aws.amazon.com/security/penetration-testing/</t>
  </si>
  <si>
    <t>Amazon Aurora is a MySQL and PostgreSQL-compatible relational database built for the cloud. Amazon Aurora combines the performance and availability of traditional enterprise databases with the simplicity and cost-effectiveness of open source databases. It delivers up to five times the throughput of standard MySQL and up to three times the throughput of standard PostgreSQL. Amazon Aurora is designed to be compatible with MySQL and with PostgreSQL, so that existing applications and tools can run without requiring modification. It is available through Amazon Relational Database Service (RDS), freeing you from time-consuming administrative tasks such as provisioning, patching, backup, recovery, failure detection, and repair.
The other options are incorrect:
"A MySQL database installed on an EC2 instance" is incorrect. You can Install MySQL on an EC2 instance, but in this scenario, you would have to manage the database and the backup processes yourself; it would not be automatic.
"Amazon DynamoDB" is incorrect. Amazon DynamoDB is a NoSQL database service. Amazon DynamoDB does not support MySQL.
"Amazon DocumentDB" is incorrect. Amazon DocumentDB does not support MySQL. Amazon DocumentDB is a fully managed document database service that supports MongoDB workloads.
References:
https://aws.amazon.com/rds/aurora/</t>
  </si>
  <si>
    <t>Amazon DynamoDB is a NoSQL database service. NoSQL databases are used for non-structured data that are typically stored in JSON-like, key-value documents.
The other options are incorrect:
Amazon Redshift is incorrect. Amazon Redshift is a data warehouse service that only supports relational data, NOT key-value data.
Additional information:
Amazon Redshift is a fast, fully managed data warehouse service that is specifically designed for online analytic processing (OLAP) and business intelligence (BI) applications, which require complex queries against large datasets.
Amazon Aurora is incorrect. Amazon Aurora is a MySQL and PostgreSQL-compatible relational database NOT a key-value database.
Amazon RDS is incorrect. Amazon RDS is a relational database NOT a key-value database.
References:
https://aws.amazon.com/dynamodb/
https://aws.amazon.com/products/databases/</t>
  </si>
  <si>
    <t>Horizontal Scaling:
       Scaling horizontally takes place through an increase in the number of resources (e.g., adding more hard drives to a storage array or adding more servers to support an application). This is a great way to build Internet-scale applications that leverage the elasticity of cloud computing.
Vertical Scaling:
        Scaling vertically takes place through an increase in the specifications of an individual resource (e.g., upgrading a server with a larger hard drive, adding more memory, or provisioning a faster CPU). On Amazon EC2, this can easily be achieved by stopping an instance and resizing it to an instance type that has more RAM, CPU, I/O,or networking capabilities. This way of scaling can eventually hit a limit and it is not always a cost efficient or highly available approach. However, it is very easy to implement and can be sufficient for many use cases especially as a short term solution.
Additional information:
Vertical-scaling is often limited to the capacity constraints of a single machine, scaling beyond that capacity often involves downtime and comes with an upper limit. With horizontal-scaling it is often easier to scale dynamically by adding more machines in parallel. Hence, in most cases, horizontal-scaling is recommended over vertical-scaling.
The other options are incorrect:
All other options are examples of Vertical Scaling.
References:
https://wa.aws.amazon.com/wat.concept.horizontal-scaling.en.html</t>
  </si>
  <si>
    <t>AWS Quick Start Reference Deployments outline the architectures for popular enterprise solutions on AWS and provide AWS CloudFormation templates to automate their deployment. Each Quick Start launches, configures, and runs the AWS compute, network, storage, and other services required to deploy a specific workload on AWS, using AWS best practices for security and availability.
         Quick Starts are built by AWS solutions architects and partners to help you deploy popular technologies on AWS, based on AWS best practices. These accelerators reduce hundreds of manual installation and configuration procedures into just a few steps, so you can build your production environment quickly and start using it immediately.
The other options are incorrect:
AWS OpsWorks" is incorrect. AWS OpsWorks is a configuration management service that provides managed instances of Chef and Puppet. Chef and Puppet are automation platforms that allow you to use code to automate the configurations of your servers.
"Amazon CloudWatch" is incorrect. Amazon CloudWatch is mainly used to monitor the utilization of your AWS resources.
"Amazon Aurora" is incorrect. Amazon Aurora is a database service.
References:
https://aws.amazon.com/quickstart/</t>
  </si>
  <si>
    <t>The reliability term encompasses the ability of a system to recover from infrastructure or service disruptions, dynamically acquire computing resources to meet demand, and mitigate disruptions such as misconfigurations or transient network issues. The automatic provisioning of resources and the ability to recover from failures meet these criteria.
The other options are incorrect:
"Applying the principle of least privilege to all of its resources" is incorrect. Principle of least privilege is a security concept  related to access management.
"Providing compensation to customers if issues occur" is incorrect. AWS generally does not provide compensation to customers if issues occur and doing so has nothing to do with reliability.
"All AWS services are considered Global Services, and this design helps customers serve their international users" is incorrect. AWS services are either Global, Regional or specific to an Availability Zone. Among all the services that AWS offers, only a few of them are considered global services. Examples of AWS global services include: Amazon CloudFront, AWS Identity and Access Management and Amazon Route 53. This answer is incorrect because NOT ALL AWS Services are Global.
References:
https://d1.awsstatic.com/whitepapers/architecture/AWS-Reliability-Pillar.pdf</t>
  </si>
  <si>
    <t>The Well-Architected Framework identifies a set of general design principles to facilitate good design in the cloud:
1- Stop guessing your capacity needs: Eliminate guessing about your infrastructure capacity needs. When you make a capacity decision before you deploy a system, you might end up sitting on expensive idle resources or dealing with the performance implications of limited capacity. With cloud computing, these problems can go away. You can use as much or as little capacity as you need, and scale up and down automatically.
2- Test systems at production scale: In the cloud, you can create a production-scale test environment on demand, complete your testing, and then decommission the resources. Because you only pay for the test environment when it's running, you can simulate your live environment for a fraction of the cost of testing on premises.
3- Automate to make architectural experimentation easier: Automation allows you to create and replicate your systems at low cost and avoid the expense of manual effort. You can track changes to your automation, audit the impact, and revert to previous parameters when necessary.
4- Allow for evolutionary architectures: Allow for evolutionary architectures. In a traditional environment, architectural decisions are often implemented as static, one-time events, with a few major versions of a system during its lifetime. As a business and its context continue to change, these initial decisions might hinder the system's ability to deliver changing business requirements. In the cloud, the capability to automate and test on demand lowers the risk of impact from design changes. This allows systems to evolve over time so that businesses can take advantage of innovations as a standard practice.
5- Drive architectures using data: In the cloud you can collect data on how your architectural choices affect the behavior of your workload. This lets you make fact-based decisions on how to improve your workload. Your cloud infrastructure is code, so you can use that data to inform your architecture choices and improvements over time.
6- Improve through game days: Test how your architecture and processes perform by regularly scheduling game days to simulate events in production. This will help you understand where improvements can be made and can help develop organizational experience in dealing with events.
The other options are incorrect:
"Provision a large compute capacity to handle any spikes in load" is incorrect. Instead of provisioning a large compute capacity to handle the spikes in load, it is recommended to use the AWS Auto Scaling service to add or remove instances based on demand. The AWS Auto Scaling service allows you to automatically provision new resources to meet demand and maintain performance. When demand drops, AWS Auto Scaling will automatically remove any excess resource capacity, so you avoid overspending.
"Use AWS reservations to reduce costs when testing your production environment" is incorrect. Reservations in AWS are not an appropriate choice when you need to test your production environment, AWS reservations have a minimum term of one year.
"Invest heavily in architecting your environment, as it is not easy to change your design later" is incorrect. In AWS, you can test and provision your resources on-demand and pay only for what you use with no long-term contracts. This enables you to make any changes you want in your architecture design at any time without any risks.
References:
https://d1.awsstatic.com/whitepapers/architecture/AWS_Well-Architected_Framework.pdf         page 5</t>
  </si>
  <si>
    <t>The AWS Management Console allows you to access and manage Amazon Web Services through a simple and intuitive web-based user interface. You can also use the AWS Console mobile app to quickly view resources on the go.
The other options are incorrect:
AWS CLI is incorrect. The AWS Command Line Interface (CLI) is a unified tool to manage your AWS services. With just one tool to download and configure, you can control multiple AWS services from the command line and automate them through scripts.
AWS SDK is incorrect. The AWS SDK (Software Development Kit) allows you to interact with AWS services using your preferred programming language.
AWS API is incorrect. AWS API refers to the AWS application programming interface.
References:
https://aws.amazon.com/console/</t>
  </si>
  <si>
    <t>The AWS Abuse team can assist you when AWS resources are being used to engage in the following types of abusive behavior:     
I. Spam: You are receiving unwanted emails from an AWS-owned IP address, or AWS resources are being used to spam websites or forums.
II. Port scanning: Your logs show that one or more AWS-owned IP addresses are sending packets to multiple ports on your server, and you believe this is an attempt to discover unsecured ports.
III. Denial of service attacks (DOS): Your logs show that one or more AWS-owned IP addresses are being used to flood ports on your resources with packets, and you believe this is an attempt to overwhelm or crash your server or software running on your server.    
IV. Intrusion attempts: Your logs show that one or more AWS-owned IP addresses are being used to attempt to log in to your resources.
V. Hosting objectionable or copyrighted content: You have evidence that AWS resources are being used to host or distribute illegal content or distribute copyrighted content without the consent of the copyright holder.
VI. Distributing malware: You have evidence that AWS resources are being used to distribute software that was knowingly created to compromise or cause harm to computers or machines on which it is installed.
Note: Anyone can report abuse of AWS resources, not just AWS customers.
The other options are incorrect:
"Contact the AWS Security team" is incorrect. The AWS Security team is responsible for the security of services offered by AWS.
"Contact the AWS Concierge team" is incorrect. The AWS Concierge team can assist you with the issues that are related to your billing and account management.
"Contact the AWS Customer Service team" is incorrect. The AWS Customer Service team is at the forefront of this transformational technology assisting a global list of customers that are taking advantage of a growing set of services and features to run their mission-critical applications. The team helps AWS customers understand what Cloud Computing is all about, and whether it can be useful for their business needs.
References: 
https://aws.amazon.com/premiumsupport/knowledge-center/report-aws-abuse/</t>
  </si>
  <si>
    <t>AWS Personal Health Dashboard provides alerts and remediation guidance when AWS is experiencing events that may impact you. While the Service Health Dashboard displays the general status of AWS services, Personal Health Dashboard gives you a personalized view into the performance and availability of the AWS services underlying your AWS resources.
The benefits of the AWS personal health dashboard include:
**A personalized View of Service Health: Personal Health Dashboard gives you a personalized view of the status of the AWS services that power your applications, enabling you to quickly see when AWS is experiencing issues that may impact you. For example, in the event of a lost EBS volume associated with one of your EC2 instances, you would gain quick visibility into the status of the specific service you are using, helping save precious time troubleshooting to determine root cause.
**Proactive Notifications: The dashboard also provides forward looking notifications, and you can set up alerts across multiple channels, including email and mobile notifications, so you receive timely and relevant information to help plan for scheduled changes that may affect you. In the event of AWS hardware maintenance activities that may impact one of your EC2 instances, for example, you would receive an alert with information to help you plan for, and proactively address any issues associated with the upcoming change.
**Detailed Troubleshooting Guidance: When you get an alert, it includes remediation details and specific guidance to enable you to take immediate action to address AWS events impacting your resources. For example, in the event of an AWS hardware failure impacting one of your EBS volumes, your alert would include a list of your affected resources, a recommendation to restore your volume, and links to the steps to help you restore it from a snapshot. This targeted and actionable information reduces the time needed to resolve issues.
The other options are incorrect:
"A dashboard detailing vulnerabilities in your applications" is incorrect. You can check your applications for vulnerabilities using other services such as Amazon Inspector.
"Recommendations for Cost Optimization" is incorrect. You can get help about cost optimization using other services such as the AWS Trusted Advisor.
"Published information about the current status and availability of all AWS services" is incorrect. You can get information about the current status and availability of the AWS services any time using the AWS Service Health Dashboard that is available at this link: https://status.aws.amazon.com/
References:
https://aws.amazon.com/premiumsupport/phd/</t>
  </si>
  <si>
    <t>Amazon Inspector is an automated security assessment service that helps improve the security and compliance of applications deployed on AWS. Amazon Inspector automatically assesses applications for vulnerabilities or deviations from best practices. After performing an assessment, Amazon Inspector produces a detailed list of security findings prioritized by level of severity. These findings can be reviewed directly or as part of a detailed assessment report which is available via the Amazon Inspector console or API. To help get started quickly, Amazon Inspector includes a knowledge base of hundreds of rules mapped to common security best practices and vulnerability definitions. Examples of built-in rules include checking for remote root login being enabled, or vulnerable software versions installed. These rules are regularly updated by AWS security researchers.
           AWS Trusted Advisor offers a rich set of best practice checks and recommendations across five categories: cost optimization; security; fault tolerance; performance; and service limits. Like your customized cloud security expert, AWS Trusted Advisor analyzes your AWS environment and provides security recommendations to protect your AWS environment. The service improves the security of your applications by closing gaps, examining permissions, and enabling various AWS security features.
The other options are incorrect:
"Amazon SNS" is incorrect. Amazon SNS is a pub/sub messaging service that enables you to decouple microservices, distributed systems, and serverless applications.
"Concierge Support Team" is incorrect. The AWS Concierge Support Team is a specialized offering available only to customers having an Enterprise Support subscription. The Concierge Team assists customers with their billing and account inquiries.
"Amazon CloudWatch" is incorrect. Amazon CloudWatch is used to monitor the utilization of AWS resources and services. You can use CloudWatch to visualize system metrics, take automated actions, troubleshoot performance issues, discover insights to optimize your applications, and ensure they are running smoothly.
References:
https://aws.amazon.com/premiumsupport/trustedadvisor/
https://aws.amazon.com/inspector/</t>
  </si>
  <si>
    <t xml:space="preserve"> Amazon S3 is an object level storage built to store and retrieve any amount of data from anywhere – web sites and mobile apps, corporate applications, and data from IoT sensors or devices. It is designed to deliver 99.999999999% durability, and stores data for millions of applications used by market leaders in every industry.
The other options are incorrect:
"Amazon EFS" is incorrect. Amazon EFS is a file-level storage technology that provides massively parallel shared access to thousands of Amazon EC2 instances, enabling your applications to achieve high levels of aggregate throughput and IOPS with consistently low latencies."Amazon EBS" is incorrect. Amazon EBS is a block-level storage that provides storage volumes for use with Amazon EC2 and Amazon RDS instances.
"Amazon Instance Store" is incorrect. An instance store provides temporary block-level storage for your EC2 instances. Instance store is ideal for temporary storage of information that changes frequently, such as buffers, caches, scratch data, and other temporary content.
References:
https://aws.amazon.com/s3/
https://aws.amazon.com/what-is-cloud-object-storage/</t>
  </si>
  <si>
    <t>There are three Cloud Computing Models: 
1) Infrastructure as a Service (IaaS) - Infrastructure as a Service (IaaS) contains the basic building blocks for cloud IT and typically provide access to networking features, computers (virtual or on dedicated hardware), and data storage space. IaaS provides you with the highest level of flexibility and management control over your IT resources and is most similar to existing IT resources that many IT departments and developers are familiar with today.   
2) Platform as a Service (PaaS) - Platform as a Service (PaaS) removes the need for your organization to manage the underlying infrastructure (usually hardware and operating systems) and allows you to focus on the deployment and management of your applications. This helps you be more efficient as you don’t need to worry about resource procurement, capacity planning, software maintenance, patching, or any of the other undifferentiated heavy lifting involved in running your application.   
3) Software as a Service (SaaS) - Software as a Service (SaaS) provides you with a completed product that is run and managed by the service provider. In most cases, people referring to Software as a Service are referring to end-user applications. With a SaaS offering you do not have to think about how the service is maintained or how the underlying infrastructure is managed; you only need to think about how you will use that particular piece of software. A common example of a SaaS application is web-based email which you can use to send and receive email without having to manage feature additions to the email product or maintain the servers and operating systems that the email program is running on. 
Networking services are provided as part of the IaaS model.
References: 
https://docs.aws.amazon.com/aws-technical-content/latest/aws-overview/types-of-cloud-computing.html</t>
  </si>
  <si>
    <t>Amazon Glacier is an extremely low-cost storage service that provides secure, durable, and flexible storage for long-term data backup and archival. With Amazon Glacier, customers can reliably store their data for as little as $0.004 per gigabyte per month. Amazon Glacier enables customers to offload the administrative burdens of operating and scaling storage to AWS, so that they don’t have to worry about capacity planning, hardware provisioning, data replication, hardware failure detection and repair, or time-consuming hardware migrations.
The other options are incorrect:
"S3 Intelligent-Tiering" is incorrect. S3 Intelligent-Tiering is ideal for data with unknown or changing access patterns.
S3 Intelligent-Tiering is the first cloud object storage class that delivers automatic cost savings by moving data between two access tiers - frequent access and infrequent access - when access patterns change.
"AWS Marketplace" is incorrect. AWS Marketplace is a curated digital catalog that makes it easy for customers to find, buy, deploy, and manage third-party software and services that customers need to build solutions and run their businesses. AWS Marketplace includes thousands of software listings from popular categories such as security, networking, storage, machine learning, business intelligence, database, and DevOps. AWS Marketplace also simplifies software licensing and procurement with flexible pricing options and multiple deployment methods. Customers can quickly launch pre-configured software with just a few clicks, and choose software solutions in AMI and SaaS formats, as well as other formats. Flexible pricing options include free trial, hourly, monthly, annual, multi-year, and BYOL, and get billed from one source, AWS.
"Amazon EBS" is incorrect. Amazon EBS is a block level storage that provides storage volumes for use with Amazon EC2 and Amazon RDS. Amazon EBS is not a cost-effective choice here.
References: 
https://aws.amazon.com/glacier/</t>
  </si>
  <si>
    <t>The S3 Intelligent-Tiering storage class is designed to optimize costs by automatically moving data to the most cost-effective access tier, without performance impact or operational overhead. It works by storing objects in two access tiers: one tier that is optimized for frequent access and another lower-cost tier that is optimized for infrequent access. For a small monthly monitoring and automation fee per object, Amazon S3 monitors access patterns of the objects in S3 Intelligent-Tiering, and moves the ones that have not been accessed for 30 consecutive days to the infrequent access tier. If an object in the infrequent access tier is accessed, it is automatically moved back to the frequent access tier. There are no retrieval fees when using the S3 Intelligent-Tiering storage class, and no additional tiering fees when objects are moved between access tiers. It is the ideal storage class for long-lived data with access patterns that are unknown or unpredictable.
The other options are incorrect:
"Amazon S3 Standard" is incorrect. S3 Standard offers high durability, availability, and performance object storage for frequently accessed data.
"Amazon S3 Standard-Infrequent Access" is incorrect. Amazon S3 Standard-Infrequent Access (S3 Standard-IA) is for data that is accessed less frequently, but requires rapid access when needed.
"Amazon S3 Glacier" is incorrect. Amazon S3 Glacier is a low-cost storage class for data that is rarely accessed; such as archived data.
References:
https://aws.amazon.com/s3/storage-classes/</t>
  </si>
  <si>
    <t>To deliver content to global end users with lower latency, Amazon CloudFront uses a global network of Edge Locations and Regional Edge Caches in multiple cities around the world. Amazon CloudFront uses this network to cache copies of your content close to your end-users. Amazon CloudFront ensures that end-user requests are served by the closest edge location. As a result, end-user requests travel a short distance, improving performance for your end-users, while reducing the load on the origin servers.
The other options are incorrect:
AWS Global Accelerator is incorrect. AWS Global Accelerator and CloudFront are two separate services that use the AWS global network and its edge locations around the world. CloudFront improves performance for both cacheable (e.g., images and videos) and dynamic content (e.g. dynamic site delivery). Global Accelerator is a good fit for specific use cases, such as gaming, IoT or Voice over IP.
"AWS Data Centers" and "AWS Regions" are incorrect. Amazon CloudFront only uses Edge Locations or Regional Edge Caches.
References:
https://aws.amazon.com/cloudfront/</t>
  </si>
  <si>
    <t>Amazon CloudFront is a global content delivery network (CDN) service that gives businesses and web application developers an easy and cost effective way to distribute content (such as videos, data, applications, and APIs) with low latency and high data transfer speeds. Like other AWS services, Amazon CloudFront is a self-service, pay-per-use offering, requiring no long term commitments or minimum fees. With CloudFront, your files are delivered to end-users using a global network of edge locations. CloudFront is integrated with other AWS services such as AWS Shield for DDoS mitigation, Amazon S3, Elastic Load Balancing or Amazon EC2 as origins for your applications, and Lambda@Edge to run custom code close to your viewers. 
The other options are incorrect:
"AWS Direct Connect" is incorrect. AWS Direct Connect allows you to establish a dedicated network connection from your premises to AWS.
"AWS Regions" is incorrect. An AWS Region is a physical location in the world where AWS have multiple Availability Zones. Availability Zones consist of one or more discrete data centers, each with redundant power, networking, and connectivity, housed in separate facilities.
"AWS VPN" is incorrect. AWS Virtual Private Network (AWS VPN) allows you to establish a secure and private tunnel from your network or device to the AWS global network.
References:
https://aws.amazon.com/cloudfront/</t>
  </si>
  <si>
    <t>Customers should be aware that their responsibilities may vary depending on the AWS services chosen.  For example, when using Amazon EC2, you are responsible for applying operating system and application security patches regularly. However, such patches are applied automatically when using Amazon RDS.
The other options are incorrect:
"Security of the IaaS services is the responsibility of AWS" is incorrect. AWS products that fall into the well-understood category of Infrastructure as a Service (IaaS)—such as Amazon EC2, Amazon VPC, and Amazon S3—are completely under your control and require you to perform all of the necessary security configuration and management tasks. For example, for EC2 instances, you’re responsible for management of the guest OS (including updates and security patches), any application software or utilities you install on the instances, and the configuration of the AWS-provided firewall (called a security group) on each instance. These are basically the same security tasks that you’re used to performing no matter where your servers are located.
"Security of the managed services is the responsibility of the customer" is incorrect. AWS is responsible for the security configuration of its managed services. Examples of these types of services include Amazon DynamoDB, Amazon RDS, Amazon Redshift, Amazon Elastic MapReduce, and Amazon WorkSpaces. For most of these services, all you have to do is to configure logical access controls on the resources and protect your account credentials, but overall, the security configuration work is performed by the service.
"Patching the guest OS is always the responsibility of AWS" is incorrect.
 A computer on which AWS runs one or more virtual machines is called a host machine, and each virtual machine is called a guest machine. AWS drives the concept of virtualization by allowing the physical host machine to operate multiple virtual machines as guests (for multiple customers) to help maximize the effective use of computing resources such as memory, network bandwidth and CPU cycles.
Patching the guest operating system is the responsibility of AWS for the managed services only (such as Amazon RDS). The customer is responsible for patching the guest OS for other services (such as Amazon EC2).
AWS is responsible for patching the underlying hosts, upgrading the firmware, and fixing flaws within the infrastructure for all services, including Amazon EC2.
References:
https://aws.amazon.com/compliance/shared-responsibility-model/</t>
  </si>
  <si>
    <t>AWS Infrastructure Event Management is a short-term engagement with AWS Support, included in the Enterprise-level Support product offering, and available for additional purchase for Business-level Support subscribers. AWS Infrastructure Event Management partners with your technical and project resources to gain a deep understanding of your use case and provide architectural and scaling guidance for an event. Common use-case examples for AWS Event Management include advertising launches, new product launches, and infrastructure migrations to AWS.
The other options are incorrect:
"AWS Personal Health Dashboard" is incorrect. AWS Personal Health Dashboard provides alerts and remediation guidance when AWS is experiencing events that may impact you. While the Service Health Dashboard displays the general status of AWS services, Personal Health Dashboard gives you a personalized view into the performance and availability of the AWS services underlying your AWS resources.
AWS Support API is incorrect. The AWS Support API provides access to some of the features of the AWS Support Center via an API.
AWS Support Concierge Service is incorrect. AWS Support Concierge Service assists customers with account and billing inquiries.
References:
https://aws.amazon.com/premiumsupport/features/</t>
  </si>
  <si>
    <t>AWS Artifact is a self-service audit artifact retrieval portal that provides customers with on-demand access to AWS’ compliance documentation and AWS agreements. You can use AWS Artifact Agreements to review, accept, and track the status of AWS agreements such as the Business Associate Addendum (BAA).
Additional information:
You can also use AWS Artifact Reports to download AWS security and compliance documents, such as AWS ISO certifications, Payment Card Industry (PCI), and System and Organization Control (SOC) reports.
The other options are incorrect:
"AWS Organizations" is incorrect. AWS Organizations provides central governance and management across multiple AWS accounts.
"AWS Systems Manager" is incorrect. AWS Systems Manager gives you visibility and control of your infrastructure on AWS. Systems Manager provides a unified user interface so you can view operational data from multiple AWS services and allows you to automate operational tasks across your AWS resources.
"AWS Certificate Manager" is incorrect. AWS Certificate Manager is a service that lets you easily provision, manage, and deploy public and private Secure Sockets Layer/Transport Layer Security (SSL/TLS) certificates for use with AWS services and your internal connected resources
References:
https://aws.amazon.com/artifact/</t>
  </si>
  <si>
    <t>The only way to reduce latency for the US users is to provision new Amazon EC2 instances in a Region closer to or in the US, OR by using Amazon CloudFront to cache copies of the content in edge locations close to the US users. In both cases, user requests will travel a shorter distance over the network, and the performance will improve.
The other options are incorrect:
“Building a new data center in the US and implementing a hybrid model” is incorrect. Building a new data center in the US is significantly expensive.
“Applying the Amazon Connect latency-based routing policy” is incorrect. Latency-based routing is a feature of Amazon Route 53, not Amazon Connect. Amazon Connect is a cloud-based contact center service that helps businesses to deliver customer service at a low cost.
“Registering a new US domain name to serve the users in the US” is incorrect. There is no relation between domain names and latency. Domain names are global and not tied to a specific region.
A Domain name (example.com) is just a way to direct end-users to a specific website\application instead of using IP addresses (116.203.247.177, for example), which are very difficult to remember.
References:
https://d1.awsstatic.com/whitepapers/architecture/AWS_Well-Architected_Framework.pdf</t>
  </si>
  <si>
    <t>With On-Demand instances, you pay for compute capacity by the hour or second (minimum of 60 seconds) with no long-term commitments. You can increase or decrease your compute capacity depending on the demands of your application and only pay for what you use.
The use of On-Demand instances frees you from the costs and complexities of planning, purchasing, and maintaining hardware and transforms what are commonly large fixed costs into much smaller variable costs. On-Demand instances also remove the need to buy “safety net” capacity to handle periodic traffic spikes.
The other options are incorrect:
"Reserved instances" is incorrect. Reserved instances are not appropriate in this case because the shortest reservation length is one year.
"Spot instances" is incorrect. Spot instances is not the right choice because the application must run without interruption.
"Dedicated instances" is incorrect. Dedicated instances can be used if you require your instance be physically isolated at the host hardware level from instances that belong to other AWS accounts.
References: 
https://d1.awsstatic.com/whitepapers/aws-overview.pdf</t>
  </si>
  <si>
    <t>AWS consolidated billing enables an organization to consolidate payments for multiple Amazon Web Services (AWS) accounts within a single organization by making a single paying account. For billing purposes, AWS treats all the accounts on the consolidated bill as one account. Some services, such as Amazon EC2 and Amazon S3 have volume pricing tiers across certain usage dimensions that give the user lower prices when they use the service more. For example if you use 50 TB in each account you would normally be charged $23 *50*3 (because they are 3 different accounts), But with consolidated billing you would be charged $23*50+$22*50*2 (because they are treated as one account) which means that you would save $100.
References:
https://aws.amazon.com/s3/pricing/
https://docs.aws.amazon.com/awsaccountbilling/latest/aboutv2/consolidated-billing.html</t>
  </si>
  <si>
    <t>As application complexity increases, a desirable attribute of an IT system is that it can be broken into smaller, loosely coupled components. This means that IT systems should be designed in a way that reduces interdependencies—a change or a failure in one component should not cascade to other components. On the other hand if the components of an application are tightly coupled and one component fails, the entire application will also fail. Therefore when designing your application, you should always decouple its components.
The other options are incorrect:
"Allows treating an application as a single, cohesive unit" is incorrect. Decoupling allows you to deal with your application as multiple independent components (microservices) not as a single, cohesive unit.
"Allows tracking of any API call made to any AWS service" is incorrect. There is no relation between decoupling an application and tracking API calls. API calls are tracked by AWS CloudTrail.
"Allows updates of any monolithic application quickly and easily" is incorrect. Decoupling is the exact opposite of having a monolithic application. A monolithic application is designed to be self-contained; components of the program are interconnected and interdependent rather than loosely coupled as is the case with Microservices applications (or loosely-coupled applications). Decoupling allows the update of any microservices application component to occur quickly and independently of the remainder of the application. This allows developers to work independently to update multiple components at the same time. On the other hand, a monolithic application is a single unit and takes more time and effort to be updated.
References:
https://aws.amazon.com/microservices/</t>
  </si>
  <si>
    <t>AWS Auto Scaling is the feature that automates the process of adding/removing server capacity (based on demand). Autoscaling allows you to reduce your costs by automatically turning off resources that aren’t in use. On the other hand, Autoscaling ensures that your application runs effectively by provisioning more server capacity if required.
The other options are incorrect:
"AWS Budgets" is incorrect. AWS Budgets gives you the ability to set custom budgets that alert you when your costs or usage exceed (or are forecasted to exceed) your budgeted amount.
"AWS Elastic Load Balancer" is incorrect. AWS Elastic Load Balancer (ELB) is a service that distributes the incoming application traffic to multiple targets that you define.
"AWS Cost Explorer" is incorrect. AWS Cost Explorer provides an easy-to-use interface that lets you visualize, understand, and manage your AWS costs and usage over time.
References:
https://aws.amazon.com/autoscaling/</t>
  </si>
  <si>
    <t>Snowball is a petabyte-scale data transport solution that uses devices designed to be secure to transfer large amounts of data into and out of the AWS Cloud. Using Snowball addresses common challenges with large-scale data transfers including high network costs, long transfer times, and security concerns. Customers today use Snowball to migrate analytics data, genomics data, video libraries, image repositories, backups, and to archive part of data center shutdowns, tape replacement or application migration projects. Transferring data with Snowball is simple, fast, more secure, and can be as little as one-fifth the cost of transferring data via high-speed Internet. 
The other options are incorrect:
"A catalog of third-party software solutions that customers need to build solutions and run their businesses" is incorrect. AWS Marketplace is the service that provides this catalog. AWS Marketplace is a digital catalog with thousands of software listings from independent software vendors that make it easy to find, test, buy, and deploy software that runs on AWS. AWS Marketplace includes software listings from categories such as security, networking, storage, machine learning, business intelligence, database, and DevOps.
"A hybrid cloud storage between on-premises environments and the AWS Cloud" is incorrect. AWS Storage Gateway is the service that enables your on-premises applications to seamlessly use AWS cloud storage.
"An Exabyte-scale data transfer service that allows you to move extremely large amounts of data to AWS" is incorrect. AWS Snowmobile is the exabyte-scale data migration service that allows you to move very large datasets from on-premises to AWS.
References:
https://aws.amazon.com/snowball/</t>
  </si>
  <si>
    <t>You should attempt to build as much automation as possible in both detecting and reacting to failure. You can use services like ELB and Amazon Route53 to configure health checks and mask failure by only routing traffic to healthy endpoints. In addition, Auto Scaling can be configured to automatically replace unhealthy nodes. You can also replace unhealthy nodes using the Amazon EC2 auto-recovery feature or services such as AWS OpsWorks and AWS Elastic Beanstalk. It won’t be possible to predict every possible failure scenario on day one. Make sure you collect enough logs and metrics to understand normal system behavior. After you understand that, you will be able to set up alarms that trigger automated response or manual intervention.
The other options are incorrect:
ECR is incorrect. Amazon Elastic Container Registry (ECR) is a Docker container registry that allows developers to store, manage, and deploy Docker container images.
Amazon Athena is incorrect. Amazon Athena is an interactive query service that is mainly used to analyze data in Amazon S3 using standard SQL.
Amazon EC2 is incorrect. Amazon EC2 is a server-based compute service. Fault tolerance is not built-in, you have to architect for fault tolerance using the services we mentioned above.
Additional information:
Lambda is a serverless compute service. Serverless computing provides built-in fault tolerance. You don't need to architect for this capability since the service provides it by default.
References:
https://docs.aws.amazon.com/autoscaling/ec2/userguide/auto-scaling-benefits.html
https://aws.amazon.com/elasticloadbalancing/</t>
  </si>
  <si>
    <t>AWS Organizations helps customers centrally govern their environments as they grow and scale their workloads on AWS. Whether customers are a growing startup or a large enterprise, Organizations helps them to centrally manage billing; control access, compliance, and security; and share resources across their AWS accounts.
AWS Organizations has five main benefits:
1) Centrally manage access polices across multiple AWS accounts.
2) Automate AWS account creation and management.
3) Control access to AWS services.
4) Consolidate billing across multiple AWS accounts.
5) Configure AWS services across multiple accounts.
The other options are incorrect:
"AWS Trusted Advisor" is incorrect. AWS Trusted Advisor is an online tool that provides customers with real time guidance to help them provision their resources following AWS best practices.
"IAM Groups" is incorrect. IAM groups are not used to manage multiple AWS accounts. An IAM group is a collection of IAM users - within the same AWS account - that are managed as a unit. IAM Groups let customers specify permissions for multiple users, which can make it easier to manage the permissions for those users. For example, customers could have a group called Admins and give that group the types of permissions that administrators typically need.
"AWS Config" is incorrect. AWS Config is a fully managed service that provides customers with an AWS resource inventory, configuration history, and configuration change notifications to enable security and governance-
References:
https://aws.amazon.com/organizations/</t>
  </si>
  <si>
    <t>Creating snapshots of EBS Volumes can help ensure that you have a backup of your EBS volumes just in case any issues arise.
Amazon EBS encryption offers a straight-forward encryption solution for your EBS resources that doesn't require you to build, maintain, and secure your own key management infrastructure. Encryption operations occur on the servers that host EC2 instances, ensuring the security of both data-at-rest and data-in-transit between an instance and its attached EBS storage.
The other options are incorrect:
"Prevent any unauthorized access to AWS data centers" is incorrect. It is the responsibility of AWS to control and restrict access to its data centers.
"Store a backup daily in an external drive" is incorrect. To make a backup of your EBS volumes you should use the Snapshot feature. Snapshots can provide a Copy-on-Write Consistency (reflect the exact image of the volume at the point-in-time of the snapshot).
"Regularly update firmware on EBS devices" is incorrect. It is the responsibility of AWS to regularly update firmware on hardware devices.
Additional information:
EBS Snapshots are incremental backups, which means that only the blocks on the device that have changed after your last snapshot are saved. This minimizes the time required to create the snapshot and saves on storage costs by not duplicating data.
References:
https://docs.aws.amazon.com/AWSEC2/latest/UserGuide/EBSSnapshots.html
https://docs.aws.amazon.com/AWSEC2/latest/UserGuide/EBSEncryption.html</t>
  </si>
  <si>
    <t>Amazon ElastiCache is a web service that makes it easy to deploy, operate, and scale an in-memory data store or cache in the cloud. The service improves the performance of web applications by allowing you to retrieve information from fast, managed, in-memory data stores, instead of relying entirely on slower disk-based databases.
The primary purpose of an in-memory data store is to provide ultrafast (submillisecond latency) and inexpensive access to copies of data. Querying a database is always slower and more expensive than locating a copy of that data in a cache. Some database queries are especially expensive to perform. An example is queries that involve joins across multiple tables or queries with intensive calculations. By caching (storing) such query results, you pay the price of the query only once. Then you can quickly retrieve the data multiple times without having to re-execute the query.
The other options are incorrect:
"AWS Storage Gateway" is incorrect. AWS Storage Gateway is not a caching service, it is a hybrid storage service that enables your on-premises applications to seamlessly use AWS cloud storage.
"Amazon EBS volume" is incorrect. An Amazon EBS volume is a durable, block-level storage device that you can attach to a single EC2 instance. You can use EBS volumes as primary storage for data that requires frequent updates, such as the system drive for an instance or storage for a database application. You can also use them for throughput-intensive applications that perform continuous disk scans.
"AWS OpsWorks" is incorrect. AWS OpsWorks is a configuration management service that provides managed instances of Chef and Puppet. Chef and Puppet are automation platforms that allow you to use code to automate the configurations of your servers. OpsWorks lets you use Chef and Puppet to automate how servers are configured, deployed, and managed across your Amazon EC2 instances or on-premises compute environments.
References:
https://aws.amazon.com/elasticache/</t>
  </si>
  <si>
    <t>Shared Controls are controls which apply to both the infrastructure layer and customer layers, but in completely separate contexts or perspectives. In a shared control, AWS provides the requirements for the infrastructure and the customer must provide their own control implementation within their use of AWS services.
Examples include:
** Patch Management – AWS is responsible for patching the underlying hosts and fixing flaws within the infrastructure, but customers are responsible for patching their guest OS and applications.
** Configuration Management – AWS maintains the configuration of its infrastructure devices, but a customer is responsible for configuring their own guest operating systems, databases, and applications.
** Awareness &amp; Training - AWS trains AWS employees, but a customer must train their own employees.
Additional information:
A computer on which AWS runs one or more virtual machines is called a host machine, and each virtual machine is called a guest machine. AWS drives the concept of virtualization by allowing the physical host machine to operate multiple virtual machines as guests (for multiple customers) to help maximize the effective use of computing resources such as memory, network bandwidth and CPU cycles.
The other options are incorrect:
"Data Center operations" is incorrect. Data Center operations are an AWS responsibility.
"VPC Management" and "IAM Management" are incorrect. VPC and IAM management are customer responsibilities.
References:
https://aws.amazon.com/compliance/shared-responsibility-model/</t>
  </si>
  <si>
    <t>Spot instances provide a discount (up to 90%) off the On-Demand price. The Spot price is determined by long-term trends in supply and demand for EC2 spare capacity. If the Spot price exceeds the maximum price you specify for a given instance or if capacity is no longer available, your instance will automatically be interrupted.
Spot Instances are a cost-effective choice if you can be flexible about when your applications run and if you don't mind if your applications get interrupted. For example, Spot Instances are well-suited for data analysis, batch jobs, background processing, and optional tasks. 
The other options are incorrect:
"Reserved instances" is incorrect. Reserved instances are recommended for Customers that can commit to using EC2 over a 1 or 3-year term to reduce their total computing costs. Even if the project will last for more than a year, the cost-benefit for acquiring Reserved Instances is not as great as the cost-benefit from using Spot Instances. The Spot option provides the largest discount (up to 90%).
"On-demand instances" is incorrect. On-demand instances are significantly less cost-effective than spot instances.
"Dedicated instances" is incorrect. Dedicated instances are used when you need your instances to be physically isolated at the host hardware level from instances that belong to other AWS accounts. Dedicated instances are significantly more expensive than Spot Instances
References:
https://docs.aws.amazon.com/AWSEC2/latest/UserGuide/using-spot-instances.html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</si>
</sst>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000%"/>
  </numFmts>
  <fonts count="11" x14ac:knownFonts="1">
    <font>
      <sz val="11"/>
      <color theme="1"/>
      <name val="Calibri"/>
      <family val="2"/>
      <scheme val="minor"/>
    </font>
    <font>
      <b/>
      <sz val="11"/>
      <color theme="1"/>
      <name val="Calibri"/>
      <family val="2"/>
      <scheme val="minor"/>
    </font>
    <font>
      <sz val="9"/>
      <color rgb="FF222222"/>
      <name val="Consolas"/>
      <family val="3"/>
    </font>
    <font>
      <sz val="11"/>
      <color theme="1"/>
      <name val="Calibri"/>
      <family val="2"/>
      <scheme val="minor"/>
    </font>
    <font>
      <sz val="9"/>
      <color rgb="FF29303B"/>
      <name val="Segoe UI"/>
      <family val="2"/>
    </font>
    <font>
      <sz val="11"/>
      <color theme="1"/>
      <name val="Segoe UI"/>
      <family val="2"/>
    </font>
    <font>
      <b/>
      <sz val="9"/>
      <color rgb="FF29303B"/>
      <name val="Segoe UI"/>
      <family val="2"/>
    </font>
    <font>
      <sz val="9"/>
      <color theme="1"/>
      <name val="Segoe UI"/>
      <family val="2"/>
    </font>
    <font>
      <sz val="11"/>
      <name val="Calibri"/>
      <family val="2"/>
      <scheme val="minor"/>
    </font>
    <font>
      <sz val="9"/>
      <name val="Segoe UI"/>
      <family val="2"/>
    </font>
    <font>
      <sz val="11"/>
      <name val="Segoe UI"/>
      <family val="2"/>
    </font>
  </fonts>
  <fills count="6">
    <fill>
      <patternFill patternType="none"/>
    </fill>
    <fill>
      <patternFill patternType="gray125"/>
    </fill>
    <fill>
      <patternFill patternType="solid">
        <fgColor theme="1"/>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49">
    <xf numFmtId="0" fontId="0" fillId="0" borderId="0" xfId="0"/>
    <xf numFmtId="0" fontId="2" fillId="0" borderId="0" xfId="0" applyFont="1"/>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10" fontId="0" fillId="0" borderId="0" xfId="0" applyNumberFormat="1" applyAlignment="1">
      <alignment horizontal="left" vertical="center"/>
    </xf>
    <xf numFmtId="164" fontId="0" fillId="0" borderId="0" xfId="0" applyNumberFormat="1" applyAlignment="1">
      <alignment horizontal="left" vertical="center"/>
    </xf>
    <xf numFmtId="165" fontId="0" fillId="0" borderId="0" xfId="0" applyNumberFormat="1" applyAlignment="1">
      <alignment horizontal="left" vertical="center"/>
    </xf>
    <xf numFmtId="0" fontId="1" fillId="0" borderId="0" xfId="0" applyFont="1" applyAlignment="1">
      <alignment horizontal="center" vertical="center" wrapText="1"/>
    </xf>
    <xf numFmtId="0" fontId="1"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center" wrapText="1"/>
    </xf>
    <xf numFmtId="0" fontId="0" fillId="0" borderId="0" xfId="0" applyAlignment="1">
      <alignment horizontal="center"/>
    </xf>
    <xf numFmtId="0" fontId="0" fillId="2" borderId="0" xfId="0" applyFill="1"/>
    <xf numFmtId="0" fontId="0" fillId="3" borderId="0" xfId="0" applyFill="1"/>
    <xf numFmtId="0" fontId="4" fillId="0" borderId="0" xfId="0" applyFont="1" applyAlignment="1">
      <alignment wrapText="1"/>
    </xf>
    <xf numFmtId="0" fontId="4" fillId="0" borderId="0" xfId="0" applyFont="1" applyAlignment="1">
      <alignment horizontal="center" wrapText="1"/>
    </xf>
    <xf numFmtId="9" fontId="0" fillId="0" borderId="0" xfId="1" applyFont="1"/>
    <xf numFmtId="0" fontId="4" fillId="0" borderId="0" xfId="0" applyFont="1" applyAlignment="1">
      <alignment horizontal="center" vertical="center" wrapText="1"/>
    </xf>
    <xf numFmtId="0" fontId="4" fillId="0" borderId="0" xfId="0" applyFont="1" applyAlignment="1">
      <alignment horizontal="left" wrapText="1"/>
    </xf>
    <xf numFmtId="0" fontId="5" fillId="0" borderId="0" xfId="0" applyFont="1" applyAlignment="1">
      <alignment horizontal="left" vertical="center"/>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0" fillId="3" borderId="0" xfId="0" quotePrefix="1" applyFill="1"/>
    <xf numFmtId="0" fontId="7" fillId="4" borderId="0" xfId="0" applyFont="1" applyFill="1" applyAlignment="1">
      <alignment horizontal="left" vertical="center"/>
    </xf>
    <xf numFmtId="0" fontId="0" fillId="5" borderId="0" xfId="0" applyFill="1"/>
    <xf numFmtId="0" fontId="4" fillId="5" borderId="0" xfId="0" applyFont="1" applyFill="1" applyAlignment="1">
      <alignment horizontal="left" wrapText="1"/>
    </xf>
    <xf numFmtId="0" fontId="5" fillId="5" borderId="0" xfId="0" applyFont="1" applyFill="1" applyAlignment="1">
      <alignment horizontal="left" vertical="center"/>
    </xf>
    <xf numFmtId="0" fontId="7" fillId="4" borderId="0" xfId="0" applyFont="1" applyFill="1" applyAlignment="1">
      <alignment horizontal="left" vertical="center" wrapText="1"/>
    </xf>
    <xf numFmtId="0" fontId="7" fillId="4" borderId="0" xfId="0" applyFont="1" applyFill="1" applyAlignment="1">
      <alignment horizontal="left"/>
    </xf>
    <xf numFmtId="0" fontId="7" fillId="4" borderId="0" xfId="0" applyFont="1" applyFill="1" applyAlignment="1">
      <alignment horizontal="left" wrapText="1"/>
    </xf>
    <xf numFmtId="0" fontId="8" fillId="5" borderId="0" xfId="0" applyFont="1" applyFill="1"/>
    <xf numFmtId="0" fontId="9" fillId="5" borderId="0" xfId="0" applyFont="1" applyFill="1" applyAlignment="1">
      <alignment horizontal="left" wrapText="1"/>
    </xf>
    <xf numFmtId="0" fontId="10" fillId="5" borderId="0" xfId="0" applyFont="1" applyFill="1" applyAlignment="1">
      <alignment horizontal="left" vertical="center"/>
    </xf>
  </cellXfs>
  <cellStyles count="2">
    <cellStyle name="Normal" xfId="0" builtinId="0"/>
    <cellStyle name="Percent" xfId="1" builtinId="5"/>
  </cellStyles>
  <dxfs count="76">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
      <fill>
        <patternFill>
          <bgColor theme="9" tint="0.39994506668294322"/>
        </patternFill>
      </fill>
    </dxf>
    <dxf>
      <fill>
        <patternFill>
          <bgColor rgb="FFF38885"/>
        </patternFill>
      </fill>
    </dxf>
  </dxfs>
  <tableStyles count="0" defaultTableStyle="TableStyleMedium2" defaultPivotStyle="PivotStyleLight16"/>
  <colors>
    <mruColors>
      <color rgb="FFF388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D96E-DDFD-4D4B-98C5-97D7876CAB49}">
  <dimension ref="A1:AE667"/>
  <sheetViews>
    <sheetView zoomScale="98" zoomScaleNormal="98" workbookViewId="0">
      <selection activeCell="L581" sqref="L581"/>
    </sheetView>
  </sheetViews>
  <sheetFormatPr baseColWidth="10" defaultColWidth="8.83203125" defaultRowHeight="15" x14ac:dyDescent="0.2"/>
  <cols>
    <col min="9" max="9" width="9.1640625" customWidth="1"/>
    <col min="10" max="10" width="11.5" style="28" hidden="1" customWidth="1"/>
    <col min="11" max="11" width="0" hidden="1" customWidth="1"/>
    <col min="12" max="31" width="8.83203125" style="27"/>
  </cols>
  <sheetData>
    <row r="1" spans="1:11" ht="14.5" customHeight="1" x14ac:dyDescent="0.2">
      <c r="A1" s="37" t="s">
        <v>2153</v>
      </c>
      <c r="B1" s="37"/>
      <c r="C1" s="37"/>
      <c r="D1" s="37"/>
      <c r="E1" s="37"/>
      <c r="F1" s="37"/>
      <c r="G1" s="37"/>
      <c r="H1" s="37"/>
      <c r="I1" s="36" t="s">
        <v>1858</v>
      </c>
    </row>
    <row r="2" spans="1:11" ht="52.25" customHeight="1" x14ac:dyDescent="0.2">
      <c r="A2" s="35" t="s">
        <v>2152</v>
      </c>
      <c r="B2" s="35"/>
      <c r="C2" s="35"/>
      <c r="D2" s="35"/>
      <c r="E2" s="35"/>
      <c r="F2" s="35"/>
      <c r="G2" s="35"/>
      <c r="H2" s="35"/>
      <c r="I2" s="35"/>
    </row>
    <row r="3" spans="1:11" x14ac:dyDescent="0.2">
      <c r="A3" s="35"/>
      <c r="B3" s="35"/>
      <c r="C3" s="35"/>
      <c r="D3" s="35"/>
      <c r="E3" s="35"/>
      <c r="F3" s="35"/>
      <c r="G3" s="35"/>
      <c r="H3" s="35"/>
      <c r="I3" s="35"/>
    </row>
    <row r="4" spans="1:11" x14ac:dyDescent="0.2">
      <c r="A4" s="35"/>
      <c r="B4" s="35"/>
      <c r="C4" s="35"/>
      <c r="D4" s="35"/>
      <c r="E4" s="35"/>
      <c r="F4" s="35"/>
      <c r="G4" s="35"/>
      <c r="H4" s="35"/>
      <c r="I4" s="35"/>
    </row>
    <row r="5" spans="1:11" ht="51" customHeight="1" x14ac:dyDescent="0.2">
      <c r="A5" s="35"/>
      <c r="B5" s="35"/>
      <c r="C5" s="35"/>
      <c r="D5" s="35"/>
      <c r="E5" s="35"/>
      <c r="F5" s="35"/>
      <c r="G5" s="35"/>
      <c r="H5" s="35"/>
      <c r="I5" s="35"/>
    </row>
    <row r="6" spans="1:11" ht="16" x14ac:dyDescent="0.2">
      <c r="A6" s="34" t="s">
        <v>0</v>
      </c>
      <c r="B6" s="33" t="s">
        <v>2151</v>
      </c>
      <c r="C6" s="33"/>
      <c r="D6" s="33"/>
      <c r="E6" s="33"/>
      <c r="F6" s="33"/>
      <c r="G6" s="33"/>
      <c r="H6" s="33"/>
      <c r="J6" s="28">
        <f>IF(ISNUMBER(SEARCH("x",I6)),1,0)</f>
        <v>0</v>
      </c>
      <c r="K6" s="19">
        <f>SUM(J6:J9)</f>
        <v>0</v>
      </c>
    </row>
    <row r="7" spans="1:11" ht="16" x14ac:dyDescent="0.2">
      <c r="A7" s="34" t="s">
        <v>1</v>
      </c>
      <c r="B7" s="33" t="s">
        <v>9</v>
      </c>
      <c r="C7" s="33"/>
      <c r="D7" s="33"/>
      <c r="E7" s="33"/>
      <c r="F7" s="33"/>
      <c r="G7" s="33"/>
      <c r="H7" s="33"/>
      <c r="J7" s="38">
        <v>0</v>
      </c>
      <c r="K7" s="19"/>
    </row>
    <row r="8" spans="1:11" ht="16" x14ac:dyDescent="0.2">
      <c r="A8" s="34" t="s">
        <v>2</v>
      </c>
      <c r="B8" s="33" t="s">
        <v>74</v>
      </c>
      <c r="C8" s="33"/>
      <c r="D8" s="33"/>
      <c r="E8" s="33"/>
      <c r="F8" s="33"/>
      <c r="G8" s="33"/>
      <c r="H8" s="33"/>
      <c r="J8" s="38">
        <v>0</v>
      </c>
      <c r="K8" s="19"/>
    </row>
    <row r="9" spans="1:11" ht="16" x14ac:dyDescent="0.2">
      <c r="A9" s="34" t="s">
        <v>3</v>
      </c>
      <c r="B9" s="33" t="s">
        <v>2150</v>
      </c>
      <c r="C9" s="33"/>
      <c r="D9" s="33"/>
      <c r="E9" s="33"/>
      <c r="F9" s="33"/>
      <c r="G9" s="33"/>
      <c r="H9" s="33"/>
      <c r="J9" s="38">
        <v>0</v>
      </c>
      <c r="K9" s="19"/>
    </row>
    <row r="10" spans="1:11" s="27" customFormat="1" x14ac:dyDescent="0.2"/>
    <row r="11" spans="1:11" x14ac:dyDescent="0.2">
      <c r="A11" s="37" t="s">
        <v>2149</v>
      </c>
      <c r="B11" s="37"/>
      <c r="C11" s="37"/>
      <c r="D11" s="37"/>
      <c r="E11" s="37"/>
      <c r="F11" s="37"/>
      <c r="G11" s="37"/>
      <c r="H11" s="37"/>
      <c r="I11" s="36" t="s">
        <v>1858</v>
      </c>
    </row>
    <row r="12" spans="1:11" x14ac:dyDescent="0.2">
      <c r="A12" s="35" t="s">
        <v>2148</v>
      </c>
      <c r="B12" s="35"/>
      <c r="C12" s="35"/>
      <c r="D12" s="35"/>
      <c r="E12" s="35"/>
      <c r="F12" s="35"/>
      <c r="G12" s="35"/>
      <c r="H12" s="35"/>
      <c r="I12" s="35"/>
    </row>
    <row r="13" spans="1:11" x14ac:dyDescent="0.2">
      <c r="A13" s="35"/>
      <c r="B13" s="35"/>
      <c r="C13" s="35"/>
      <c r="D13" s="35"/>
      <c r="E13" s="35"/>
      <c r="F13" s="35"/>
      <c r="G13" s="35"/>
      <c r="H13" s="35"/>
      <c r="I13" s="35"/>
    </row>
    <row r="14" spans="1:11" x14ac:dyDescent="0.2">
      <c r="A14" s="35"/>
      <c r="B14" s="35"/>
      <c r="C14" s="35"/>
      <c r="D14" s="35"/>
      <c r="E14" s="35"/>
      <c r="F14" s="35"/>
      <c r="G14" s="35"/>
      <c r="H14" s="35"/>
      <c r="I14" s="35"/>
    </row>
    <row r="15" spans="1:11" x14ac:dyDescent="0.2">
      <c r="A15" s="35"/>
      <c r="B15" s="35"/>
      <c r="C15" s="35"/>
      <c r="D15" s="35"/>
      <c r="E15" s="35"/>
      <c r="F15" s="35"/>
      <c r="G15" s="35"/>
      <c r="H15" s="35"/>
      <c r="I15" s="35"/>
    </row>
    <row r="16" spans="1:11" ht="16" x14ac:dyDescent="0.2">
      <c r="A16" s="34" t="s">
        <v>0</v>
      </c>
      <c r="B16" s="33" t="s">
        <v>2147</v>
      </c>
      <c r="C16" s="33"/>
      <c r="D16" s="33"/>
      <c r="E16" s="33"/>
      <c r="F16" s="33"/>
      <c r="G16" s="33"/>
      <c r="H16" s="33"/>
      <c r="J16" s="28">
        <f>IF(ISNUMBER(SEARCH("x",I16)),0.5,0)</f>
        <v>0</v>
      </c>
      <c r="K16" s="19">
        <f>MAX(SUM(J16:J20),0)</f>
        <v>0</v>
      </c>
    </row>
    <row r="17" spans="1:11" ht="16" x14ac:dyDescent="0.2">
      <c r="A17" s="34" t="s">
        <v>1</v>
      </c>
      <c r="B17" s="33" t="s">
        <v>2146</v>
      </c>
      <c r="C17" s="33"/>
      <c r="D17" s="33"/>
      <c r="E17" s="33"/>
      <c r="F17" s="33"/>
      <c r="G17" s="33"/>
      <c r="H17" s="33"/>
      <c r="J17" s="28">
        <f>IF(ISNUMBER(SEARCH("x",I17)),-0.5,0)</f>
        <v>0</v>
      </c>
      <c r="K17" s="19"/>
    </row>
    <row r="18" spans="1:11" ht="16" x14ac:dyDescent="0.2">
      <c r="A18" s="34" t="s">
        <v>2</v>
      </c>
      <c r="B18" s="33" t="s">
        <v>2145</v>
      </c>
      <c r="C18" s="33"/>
      <c r="D18" s="33"/>
      <c r="E18" s="33"/>
      <c r="F18" s="33"/>
      <c r="G18" s="33"/>
      <c r="H18" s="33"/>
      <c r="J18" s="28">
        <f>IF(ISNUMBER(SEARCH("x",I18)),0.5,0)</f>
        <v>0</v>
      </c>
      <c r="K18" s="19"/>
    </row>
    <row r="19" spans="1:11" ht="16" x14ac:dyDescent="0.2">
      <c r="A19" s="34" t="s">
        <v>3</v>
      </c>
      <c r="B19" s="33" t="s">
        <v>2144</v>
      </c>
      <c r="C19" s="33"/>
      <c r="D19" s="33"/>
      <c r="E19" s="33"/>
      <c r="F19" s="33"/>
      <c r="G19" s="33"/>
      <c r="H19" s="33"/>
      <c r="J19" s="28">
        <f>IF(ISNUMBER(SEARCH("x",I19)),-0.5,0)</f>
        <v>0</v>
      </c>
      <c r="K19" s="19"/>
    </row>
    <row r="20" spans="1:11" ht="16" x14ac:dyDescent="0.2">
      <c r="A20" s="34" t="s">
        <v>6</v>
      </c>
      <c r="B20" s="33" t="s">
        <v>2143</v>
      </c>
      <c r="C20" s="33"/>
      <c r="D20" s="33"/>
      <c r="E20" s="33"/>
      <c r="F20" s="33"/>
      <c r="G20" s="33"/>
      <c r="H20" s="33"/>
      <c r="J20" s="28">
        <f>IF(ISNUMBER(SEARCH("x",I20)),-0.5,0)</f>
        <v>0</v>
      </c>
      <c r="K20" s="19"/>
    </row>
    <row r="21" spans="1:11" s="27" customFormat="1" x14ac:dyDescent="0.2"/>
    <row r="22" spans="1:11" x14ac:dyDescent="0.2">
      <c r="A22" s="37" t="s">
        <v>2142</v>
      </c>
      <c r="B22" s="37"/>
      <c r="C22" s="37"/>
      <c r="D22" s="37"/>
      <c r="E22" s="37"/>
      <c r="F22" s="37"/>
      <c r="G22" s="37"/>
      <c r="H22" s="37"/>
      <c r="I22" s="36" t="s">
        <v>1858</v>
      </c>
    </row>
    <row r="23" spans="1:11" x14ac:dyDescent="0.2">
      <c r="A23" s="35" t="s">
        <v>2141</v>
      </c>
      <c r="B23" s="35"/>
      <c r="C23" s="35"/>
      <c r="D23" s="35"/>
      <c r="E23" s="35"/>
      <c r="F23" s="35"/>
      <c r="G23" s="35"/>
      <c r="H23" s="35"/>
      <c r="I23" s="35"/>
    </row>
    <row r="24" spans="1:11" x14ac:dyDescent="0.2">
      <c r="A24" s="35"/>
      <c r="B24" s="35"/>
      <c r="C24" s="35"/>
      <c r="D24" s="35"/>
      <c r="E24" s="35"/>
      <c r="F24" s="35"/>
      <c r="G24" s="35"/>
      <c r="H24" s="35"/>
      <c r="I24" s="35"/>
    </row>
    <row r="25" spans="1:11" x14ac:dyDescent="0.2">
      <c r="A25" s="35"/>
      <c r="B25" s="35"/>
      <c r="C25" s="35"/>
      <c r="D25" s="35"/>
      <c r="E25" s="35"/>
      <c r="F25" s="35"/>
      <c r="G25" s="35"/>
      <c r="H25" s="35"/>
      <c r="I25" s="35"/>
    </row>
    <row r="26" spans="1:11" x14ac:dyDescent="0.2">
      <c r="A26" s="35"/>
      <c r="B26" s="35"/>
      <c r="C26" s="35"/>
      <c r="D26" s="35"/>
      <c r="E26" s="35"/>
      <c r="F26" s="35"/>
      <c r="G26" s="35"/>
      <c r="H26" s="35"/>
      <c r="I26" s="35"/>
    </row>
    <row r="27" spans="1:11" ht="16" x14ac:dyDescent="0.2">
      <c r="A27" s="34" t="s">
        <v>0</v>
      </c>
      <c r="B27" s="33" t="s">
        <v>1138</v>
      </c>
      <c r="C27" s="33"/>
      <c r="D27" s="33"/>
      <c r="E27" s="33"/>
      <c r="F27" s="33"/>
      <c r="G27" s="33"/>
      <c r="H27" s="33"/>
      <c r="J27" s="28">
        <f>IF(ISNUMBER(SEARCH("x",I27)),1,0)</f>
        <v>0</v>
      </c>
      <c r="K27" s="19">
        <f>SUM(J27:J30)</f>
        <v>0</v>
      </c>
    </row>
    <row r="28" spans="1:11" ht="16" x14ac:dyDescent="0.2">
      <c r="A28" s="34" t="s">
        <v>1</v>
      </c>
      <c r="B28" s="33" t="s">
        <v>41</v>
      </c>
      <c r="C28" s="33"/>
      <c r="D28" s="33"/>
      <c r="E28" s="33"/>
      <c r="F28" s="33"/>
      <c r="G28" s="33"/>
      <c r="H28" s="33"/>
      <c r="J28" s="38">
        <v>0</v>
      </c>
      <c r="K28" s="19"/>
    </row>
    <row r="29" spans="1:11" ht="16" x14ac:dyDescent="0.2">
      <c r="A29" s="34" t="s">
        <v>2</v>
      </c>
      <c r="B29" s="33" t="s">
        <v>1531</v>
      </c>
      <c r="C29" s="33"/>
      <c r="D29" s="33"/>
      <c r="E29" s="33"/>
      <c r="F29" s="33"/>
      <c r="G29" s="33"/>
      <c r="H29" s="33"/>
      <c r="J29" s="38">
        <v>0</v>
      </c>
      <c r="K29" s="19"/>
    </row>
    <row r="30" spans="1:11" ht="16" x14ac:dyDescent="0.2">
      <c r="A30" s="34" t="s">
        <v>3</v>
      </c>
      <c r="B30" s="33" t="s">
        <v>2140</v>
      </c>
      <c r="C30" s="33"/>
      <c r="D30" s="33"/>
      <c r="E30" s="33"/>
      <c r="F30" s="33"/>
      <c r="G30" s="33"/>
      <c r="H30" s="33"/>
      <c r="J30" s="38">
        <v>0</v>
      </c>
      <c r="K30" s="19"/>
    </row>
    <row r="31" spans="1:11" s="27" customFormat="1" x14ac:dyDescent="0.2"/>
    <row r="32" spans="1:11" x14ac:dyDescent="0.2">
      <c r="A32" s="37" t="s">
        <v>2139</v>
      </c>
      <c r="B32" s="37"/>
      <c r="C32" s="37"/>
      <c r="D32" s="37"/>
      <c r="E32" s="37"/>
      <c r="F32" s="37"/>
      <c r="G32" s="37"/>
      <c r="H32" s="37"/>
      <c r="I32" s="36" t="s">
        <v>1858</v>
      </c>
    </row>
    <row r="33" spans="1:11" x14ac:dyDescent="0.2">
      <c r="A33" s="35" t="s">
        <v>2138</v>
      </c>
      <c r="B33" s="35"/>
      <c r="C33" s="35"/>
      <c r="D33" s="35"/>
      <c r="E33" s="35"/>
      <c r="F33" s="35"/>
      <c r="G33" s="35"/>
      <c r="H33" s="35"/>
      <c r="I33" s="35"/>
    </row>
    <row r="34" spans="1:11" x14ac:dyDescent="0.2">
      <c r="A34" s="35"/>
      <c r="B34" s="35"/>
      <c r="C34" s="35"/>
      <c r="D34" s="35"/>
      <c r="E34" s="35"/>
      <c r="F34" s="35"/>
      <c r="G34" s="35"/>
      <c r="H34" s="35"/>
      <c r="I34" s="35"/>
    </row>
    <row r="35" spans="1:11" x14ac:dyDescent="0.2">
      <c r="A35" s="35"/>
      <c r="B35" s="35"/>
      <c r="C35" s="35"/>
      <c r="D35" s="35"/>
      <c r="E35" s="35"/>
      <c r="F35" s="35"/>
      <c r="G35" s="35"/>
      <c r="H35" s="35"/>
      <c r="I35" s="35"/>
    </row>
    <row r="36" spans="1:11" x14ac:dyDescent="0.2">
      <c r="A36" s="35"/>
      <c r="B36" s="35"/>
      <c r="C36" s="35"/>
      <c r="D36" s="35"/>
      <c r="E36" s="35"/>
      <c r="F36" s="35"/>
      <c r="G36" s="35"/>
      <c r="H36" s="35"/>
      <c r="I36" s="35"/>
    </row>
    <row r="37" spans="1:11" ht="16" x14ac:dyDescent="0.2">
      <c r="A37" s="34" t="s">
        <v>0</v>
      </c>
      <c r="B37" s="33" t="s">
        <v>2137</v>
      </c>
      <c r="C37" s="33"/>
      <c r="D37" s="33"/>
      <c r="E37" s="33"/>
      <c r="F37" s="33"/>
      <c r="G37" s="33"/>
      <c r="H37" s="33"/>
      <c r="J37" s="28">
        <f>IF(ISNUMBER(SEARCH("x",I37)),0.5,0)</f>
        <v>0</v>
      </c>
      <c r="K37" s="19">
        <f>MAX(SUM(J37:J41),0)</f>
        <v>0</v>
      </c>
    </row>
    <row r="38" spans="1:11" ht="16" x14ac:dyDescent="0.2">
      <c r="A38" s="34" t="s">
        <v>1</v>
      </c>
      <c r="B38" s="33" t="s">
        <v>2136</v>
      </c>
      <c r="C38" s="33"/>
      <c r="D38" s="33"/>
      <c r="E38" s="33"/>
      <c r="F38" s="33"/>
      <c r="G38" s="33"/>
      <c r="H38" s="33"/>
      <c r="J38" s="28">
        <f>IF(ISNUMBER(SEARCH("x",I38)),-0.5,0)</f>
        <v>0</v>
      </c>
      <c r="K38" s="19"/>
    </row>
    <row r="39" spans="1:11" ht="16" x14ac:dyDescent="0.2">
      <c r="A39" s="34" t="s">
        <v>2</v>
      </c>
      <c r="B39" s="33" t="s">
        <v>2135</v>
      </c>
      <c r="C39" s="33"/>
      <c r="D39" s="33"/>
      <c r="E39" s="33"/>
      <c r="F39" s="33"/>
      <c r="G39" s="33"/>
      <c r="H39" s="33"/>
      <c r="J39" s="28">
        <f>IF(ISNUMBER(SEARCH("x",I39)),-0.5,0)</f>
        <v>0</v>
      </c>
      <c r="K39" s="19"/>
    </row>
    <row r="40" spans="1:11" ht="16" x14ac:dyDescent="0.2">
      <c r="A40" s="34" t="s">
        <v>3</v>
      </c>
      <c r="B40" s="33" t="s">
        <v>2134</v>
      </c>
      <c r="C40" s="33"/>
      <c r="D40" s="33"/>
      <c r="E40" s="33"/>
      <c r="F40" s="33"/>
      <c r="G40" s="33"/>
      <c r="H40" s="33"/>
      <c r="J40" s="28">
        <f>IF(ISNUMBER(SEARCH("x",I40)),0.5,0)</f>
        <v>0</v>
      </c>
      <c r="K40" s="19"/>
    </row>
    <row r="41" spans="1:11" ht="16" x14ac:dyDescent="0.2">
      <c r="A41" s="34" t="s">
        <v>6</v>
      </c>
      <c r="B41" s="33" t="s">
        <v>2133</v>
      </c>
      <c r="C41" s="33"/>
      <c r="D41" s="33"/>
      <c r="E41" s="33"/>
      <c r="F41" s="33"/>
      <c r="G41" s="33"/>
      <c r="H41" s="33"/>
      <c r="J41" s="28">
        <f>IF(ISNUMBER(SEARCH("x",I41)),-0.5,0)</f>
        <v>0</v>
      </c>
      <c r="K41" s="19"/>
    </row>
    <row r="42" spans="1:11" s="27" customFormat="1" x14ac:dyDescent="0.2"/>
    <row r="43" spans="1:11" x14ac:dyDescent="0.2">
      <c r="A43" s="37" t="s">
        <v>2132</v>
      </c>
      <c r="B43" s="37"/>
      <c r="C43" s="37"/>
      <c r="D43" s="37"/>
      <c r="E43" s="37"/>
      <c r="F43" s="37"/>
      <c r="G43" s="37"/>
      <c r="H43" s="37"/>
      <c r="I43" s="36" t="s">
        <v>1858</v>
      </c>
    </row>
    <row r="44" spans="1:11" x14ac:dyDescent="0.2">
      <c r="A44" s="35" t="s">
        <v>2131</v>
      </c>
      <c r="B44" s="35"/>
      <c r="C44" s="35"/>
      <c r="D44" s="35"/>
      <c r="E44" s="35"/>
      <c r="F44" s="35"/>
      <c r="G44" s="35"/>
      <c r="H44" s="35"/>
      <c r="I44" s="35"/>
    </row>
    <row r="45" spans="1:11" x14ac:dyDescent="0.2">
      <c r="A45" s="35"/>
      <c r="B45" s="35"/>
      <c r="C45" s="35"/>
      <c r="D45" s="35"/>
      <c r="E45" s="35"/>
      <c r="F45" s="35"/>
      <c r="G45" s="35"/>
      <c r="H45" s="35"/>
      <c r="I45" s="35"/>
    </row>
    <row r="46" spans="1:11" x14ac:dyDescent="0.2">
      <c r="A46" s="35"/>
      <c r="B46" s="35"/>
      <c r="C46" s="35"/>
      <c r="D46" s="35"/>
      <c r="E46" s="35"/>
      <c r="F46" s="35"/>
      <c r="G46" s="35"/>
      <c r="H46" s="35"/>
      <c r="I46" s="35"/>
    </row>
    <row r="47" spans="1:11" x14ac:dyDescent="0.2">
      <c r="A47" s="35"/>
      <c r="B47" s="35"/>
      <c r="C47" s="35"/>
      <c r="D47" s="35"/>
      <c r="E47" s="35"/>
      <c r="F47" s="35"/>
      <c r="G47" s="35"/>
      <c r="H47" s="35"/>
      <c r="I47" s="35"/>
    </row>
    <row r="48" spans="1:11" ht="16" x14ac:dyDescent="0.2">
      <c r="A48" s="34" t="s">
        <v>0</v>
      </c>
      <c r="B48" s="33" t="s">
        <v>19</v>
      </c>
      <c r="C48" s="33"/>
      <c r="D48" s="33"/>
      <c r="E48" s="33"/>
      <c r="F48" s="33"/>
      <c r="G48" s="33"/>
      <c r="H48" s="33"/>
      <c r="J48" s="28">
        <v>0</v>
      </c>
      <c r="K48" s="19">
        <f>SUM(J48:J51)</f>
        <v>0</v>
      </c>
    </row>
    <row r="49" spans="1:11" ht="16" x14ac:dyDescent="0.2">
      <c r="A49" s="34" t="s">
        <v>1</v>
      </c>
      <c r="B49" s="33" t="s">
        <v>20</v>
      </c>
      <c r="C49" s="33"/>
      <c r="D49" s="33"/>
      <c r="E49" s="33"/>
      <c r="F49" s="33"/>
      <c r="G49" s="33"/>
      <c r="H49" s="33"/>
      <c r="J49" s="28">
        <f>IF(ISNUMBER(SEARCH("x",I49)),1,0)</f>
        <v>0</v>
      </c>
      <c r="K49" s="19"/>
    </row>
    <row r="50" spans="1:11" ht="16" x14ac:dyDescent="0.2">
      <c r="A50" s="34" t="s">
        <v>2</v>
      </c>
      <c r="B50" s="33" t="s">
        <v>5</v>
      </c>
      <c r="C50" s="33"/>
      <c r="D50" s="33"/>
      <c r="E50" s="33"/>
      <c r="F50" s="33"/>
      <c r="G50" s="33"/>
      <c r="H50" s="33"/>
      <c r="J50" s="38">
        <v>0</v>
      </c>
      <c r="K50" s="19"/>
    </row>
    <row r="51" spans="1:11" ht="16" x14ac:dyDescent="0.2">
      <c r="A51" s="34" t="s">
        <v>3</v>
      </c>
      <c r="B51" s="33" t="s">
        <v>2130</v>
      </c>
      <c r="C51" s="33"/>
      <c r="D51" s="33"/>
      <c r="E51" s="33"/>
      <c r="F51" s="33"/>
      <c r="G51" s="33"/>
      <c r="H51" s="33"/>
      <c r="J51" s="38">
        <v>0</v>
      </c>
      <c r="K51" s="19"/>
    </row>
    <row r="52" spans="1:11" s="27" customFormat="1" x14ac:dyDescent="0.2"/>
    <row r="53" spans="1:11" x14ac:dyDescent="0.2">
      <c r="A53" s="37" t="s">
        <v>2129</v>
      </c>
      <c r="B53" s="37"/>
      <c r="C53" s="37"/>
      <c r="D53" s="37"/>
      <c r="E53" s="37"/>
      <c r="F53" s="37"/>
      <c r="G53" s="37"/>
      <c r="H53" s="37"/>
      <c r="I53" s="36" t="s">
        <v>1858</v>
      </c>
    </row>
    <row r="54" spans="1:11" x14ac:dyDescent="0.2">
      <c r="A54" s="35" t="s">
        <v>2128</v>
      </c>
      <c r="B54" s="35"/>
      <c r="C54" s="35"/>
      <c r="D54" s="35"/>
      <c r="E54" s="35"/>
      <c r="F54" s="35"/>
      <c r="G54" s="35"/>
      <c r="H54" s="35"/>
      <c r="I54" s="35"/>
    </row>
    <row r="55" spans="1:11" x14ac:dyDescent="0.2">
      <c r="A55" s="35"/>
      <c r="B55" s="35"/>
      <c r="C55" s="35"/>
      <c r="D55" s="35"/>
      <c r="E55" s="35"/>
      <c r="F55" s="35"/>
      <c r="G55" s="35"/>
      <c r="H55" s="35"/>
      <c r="I55" s="35"/>
    </row>
    <row r="56" spans="1:11" x14ac:dyDescent="0.2">
      <c r="A56" s="35"/>
      <c r="B56" s="35"/>
      <c r="C56" s="35"/>
      <c r="D56" s="35"/>
      <c r="E56" s="35"/>
      <c r="F56" s="35"/>
      <c r="G56" s="35"/>
      <c r="H56" s="35"/>
      <c r="I56" s="35"/>
    </row>
    <row r="57" spans="1:11" x14ac:dyDescent="0.2">
      <c r="A57" s="35"/>
      <c r="B57" s="35"/>
      <c r="C57" s="35"/>
      <c r="D57" s="35"/>
      <c r="E57" s="35"/>
      <c r="F57" s="35"/>
      <c r="G57" s="35"/>
      <c r="H57" s="35"/>
      <c r="I57" s="35"/>
    </row>
    <row r="58" spans="1:11" ht="16" x14ac:dyDescent="0.2">
      <c r="A58" s="34" t="s">
        <v>0</v>
      </c>
      <c r="B58" s="33" t="s">
        <v>1095</v>
      </c>
      <c r="C58" s="33"/>
      <c r="D58" s="33"/>
      <c r="E58" s="33"/>
      <c r="F58" s="33"/>
      <c r="G58" s="33"/>
      <c r="H58" s="33"/>
      <c r="J58" s="28">
        <f>IF(ISNUMBER(SEARCH("x",I58)),-0.5,0)</f>
        <v>0</v>
      </c>
      <c r="K58" s="19">
        <f>MAX(SUM(J58:J62),0)</f>
        <v>0</v>
      </c>
    </row>
    <row r="59" spans="1:11" ht="16" x14ac:dyDescent="0.2">
      <c r="A59" s="34" t="s">
        <v>1</v>
      </c>
      <c r="B59" s="33" t="s">
        <v>43</v>
      </c>
      <c r="C59" s="33"/>
      <c r="D59" s="33"/>
      <c r="E59" s="33"/>
      <c r="F59" s="33"/>
      <c r="G59" s="33"/>
      <c r="H59" s="33"/>
      <c r="J59" s="28">
        <f>IF(ISNUMBER(SEARCH("x",I59)),0.5,0)</f>
        <v>0</v>
      </c>
      <c r="K59" s="19"/>
    </row>
    <row r="60" spans="1:11" ht="16" x14ac:dyDescent="0.2">
      <c r="A60" s="34" t="s">
        <v>2</v>
      </c>
      <c r="B60" s="33" t="s">
        <v>2127</v>
      </c>
      <c r="C60" s="33"/>
      <c r="D60" s="33"/>
      <c r="E60" s="33"/>
      <c r="F60" s="33"/>
      <c r="G60" s="33"/>
      <c r="H60" s="33"/>
      <c r="J60" s="28">
        <f>IF(ISNUMBER(SEARCH("x",I60)),0.5,0)</f>
        <v>0</v>
      </c>
      <c r="K60" s="19"/>
    </row>
    <row r="61" spans="1:11" ht="16" x14ac:dyDescent="0.2">
      <c r="A61" s="34" t="s">
        <v>3</v>
      </c>
      <c r="B61" s="33" t="s">
        <v>487</v>
      </c>
      <c r="C61" s="33"/>
      <c r="D61" s="33"/>
      <c r="E61" s="33"/>
      <c r="F61" s="33"/>
      <c r="G61" s="33"/>
      <c r="H61" s="33"/>
      <c r="J61" s="28">
        <f>IF(ISNUMBER(SEARCH("x",I61)),-0.5,0)</f>
        <v>0</v>
      </c>
      <c r="K61" s="19"/>
    </row>
    <row r="62" spans="1:11" ht="16" x14ac:dyDescent="0.2">
      <c r="A62" s="34" t="s">
        <v>6</v>
      </c>
      <c r="B62" s="33" t="s">
        <v>1196</v>
      </c>
      <c r="C62" s="33"/>
      <c r="D62" s="33"/>
      <c r="E62" s="33"/>
      <c r="F62" s="33"/>
      <c r="G62" s="33"/>
      <c r="H62" s="33"/>
      <c r="J62" s="28">
        <f>IF(ISNUMBER(SEARCH("x",I62)),-0.5,0)</f>
        <v>0</v>
      </c>
      <c r="K62" s="19"/>
    </row>
    <row r="63" spans="1:11" s="27" customFormat="1" x14ac:dyDescent="0.2"/>
    <row r="64" spans="1:11" x14ac:dyDescent="0.2">
      <c r="A64" s="37" t="s">
        <v>2126</v>
      </c>
      <c r="B64" s="37"/>
      <c r="C64" s="37"/>
      <c r="D64" s="37"/>
      <c r="E64" s="37"/>
      <c r="F64" s="37"/>
      <c r="G64" s="37"/>
      <c r="H64" s="37"/>
      <c r="I64" s="36" t="s">
        <v>1858</v>
      </c>
    </row>
    <row r="65" spans="1:11" x14ac:dyDescent="0.2">
      <c r="A65" s="35" t="s">
        <v>2125</v>
      </c>
      <c r="B65" s="35"/>
      <c r="C65" s="35"/>
      <c r="D65" s="35"/>
      <c r="E65" s="35"/>
      <c r="F65" s="35"/>
      <c r="G65" s="35"/>
      <c r="H65" s="35"/>
      <c r="I65" s="35"/>
    </row>
    <row r="66" spans="1:11" x14ac:dyDescent="0.2">
      <c r="A66" s="35"/>
      <c r="B66" s="35"/>
      <c r="C66" s="35"/>
      <c r="D66" s="35"/>
      <c r="E66" s="35"/>
      <c r="F66" s="35"/>
      <c r="G66" s="35"/>
      <c r="H66" s="35"/>
      <c r="I66" s="35"/>
    </row>
    <row r="67" spans="1:11" x14ac:dyDescent="0.2">
      <c r="A67" s="35"/>
      <c r="B67" s="35"/>
      <c r="C67" s="35"/>
      <c r="D67" s="35"/>
      <c r="E67" s="35"/>
      <c r="F67" s="35"/>
      <c r="G67" s="35"/>
      <c r="H67" s="35"/>
      <c r="I67" s="35"/>
    </row>
    <row r="68" spans="1:11" x14ac:dyDescent="0.2">
      <c r="A68" s="35"/>
      <c r="B68" s="35"/>
      <c r="C68" s="35"/>
      <c r="D68" s="35"/>
      <c r="E68" s="35"/>
      <c r="F68" s="35"/>
      <c r="G68" s="35"/>
      <c r="H68" s="35"/>
      <c r="I68" s="35"/>
    </row>
    <row r="69" spans="1:11" ht="16" x14ac:dyDescent="0.2">
      <c r="A69" s="34" t="s">
        <v>0</v>
      </c>
      <c r="B69" s="33" t="s">
        <v>2124</v>
      </c>
      <c r="C69" s="33"/>
      <c r="D69" s="33"/>
      <c r="E69" s="33"/>
      <c r="F69" s="33"/>
      <c r="G69" s="33"/>
      <c r="H69" s="33"/>
      <c r="J69" s="28">
        <f>IF(ISNUMBER(SEARCH("x",I69)),1,0)</f>
        <v>0</v>
      </c>
      <c r="K69" s="19">
        <f>SUM(J69:J72)</f>
        <v>0</v>
      </c>
    </row>
    <row r="70" spans="1:11" ht="28.25" customHeight="1" x14ac:dyDescent="0.2">
      <c r="A70" s="34" t="s">
        <v>1</v>
      </c>
      <c r="B70" s="33" t="s">
        <v>2123</v>
      </c>
      <c r="C70" s="33"/>
      <c r="D70" s="33"/>
      <c r="E70" s="33"/>
      <c r="F70" s="33"/>
      <c r="G70" s="33"/>
      <c r="H70" s="33"/>
      <c r="J70" s="28">
        <v>0</v>
      </c>
      <c r="K70" s="19"/>
    </row>
    <row r="71" spans="1:11" ht="16" x14ac:dyDescent="0.2">
      <c r="A71" s="34" t="s">
        <v>2</v>
      </c>
      <c r="B71" s="33" t="s">
        <v>2122</v>
      </c>
      <c r="C71" s="33"/>
      <c r="D71" s="33"/>
      <c r="E71" s="33"/>
      <c r="F71" s="33"/>
      <c r="G71" s="33"/>
      <c r="H71" s="33"/>
      <c r="J71" s="38">
        <v>0</v>
      </c>
      <c r="K71" s="19"/>
    </row>
    <row r="72" spans="1:11" ht="28.75" customHeight="1" x14ac:dyDescent="0.2">
      <c r="A72" s="34" t="s">
        <v>3</v>
      </c>
      <c r="B72" s="33" t="s">
        <v>2121</v>
      </c>
      <c r="C72" s="33"/>
      <c r="D72" s="33"/>
      <c r="E72" s="33"/>
      <c r="F72" s="33"/>
      <c r="G72" s="33"/>
      <c r="H72" s="33"/>
      <c r="J72" s="38">
        <v>0</v>
      </c>
      <c r="K72" s="19"/>
    </row>
    <row r="73" spans="1:11" s="27" customFormat="1" x14ac:dyDescent="0.2"/>
    <row r="74" spans="1:11" x14ac:dyDescent="0.2">
      <c r="A74" s="37" t="s">
        <v>2120</v>
      </c>
      <c r="B74" s="37"/>
      <c r="C74" s="37"/>
      <c r="D74" s="37"/>
      <c r="E74" s="37"/>
      <c r="F74" s="37"/>
      <c r="G74" s="37"/>
      <c r="H74" s="37"/>
      <c r="I74" s="36" t="s">
        <v>1858</v>
      </c>
    </row>
    <row r="75" spans="1:11" x14ac:dyDescent="0.2">
      <c r="A75" s="35" t="s">
        <v>2119</v>
      </c>
      <c r="B75" s="35"/>
      <c r="C75" s="35"/>
      <c r="D75" s="35"/>
      <c r="E75" s="35"/>
      <c r="F75" s="35"/>
      <c r="G75" s="35"/>
      <c r="H75" s="35"/>
      <c r="I75" s="35"/>
    </row>
    <row r="76" spans="1:11" x14ac:dyDescent="0.2">
      <c r="A76" s="35"/>
      <c r="B76" s="35"/>
      <c r="C76" s="35"/>
      <c r="D76" s="35"/>
      <c r="E76" s="35"/>
      <c r="F76" s="35"/>
      <c r="G76" s="35"/>
      <c r="H76" s="35"/>
      <c r="I76" s="35"/>
    </row>
    <row r="77" spans="1:11" x14ac:dyDescent="0.2">
      <c r="A77" s="35"/>
      <c r="B77" s="35"/>
      <c r="C77" s="35"/>
      <c r="D77" s="35"/>
      <c r="E77" s="35"/>
      <c r="F77" s="35"/>
      <c r="G77" s="35"/>
      <c r="H77" s="35"/>
      <c r="I77" s="35"/>
    </row>
    <row r="78" spans="1:11" x14ac:dyDescent="0.2">
      <c r="A78" s="35"/>
      <c r="B78" s="35"/>
      <c r="C78" s="35"/>
      <c r="D78" s="35"/>
      <c r="E78" s="35"/>
      <c r="F78" s="35"/>
      <c r="G78" s="35"/>
      <c r="H78" s="35"/>
      <c r="I78" s="35"/>
    </row>
    <row r="79" spans="1:11" ht="16" x14ac:dyDescent="0.2">
      <c r="A79" s="34" t="s">
        <v>0</v>
      </c>
      <c r="B79" s="33" t="s">
        <v>2118</v>
      </c>
      <c r="C79" s="33"/>
      <c r="D79" s="33"/>
      <c r="E79" s="33"/>
      <c r="F79" s="33"/>
      <c r="G79" s="33"/>
      <c r="H79" s="33"/>
      <c r="J79" s="28">
        <f>IF(ISNUMBER(SEARCH("x",I79)),1,0)</f>
        <v>0</v>
      </c>
      <c r="K79" s="19">
        <f>SUM(J79:J82)</f>
        <v>0</v>
      </c>
    </row>
    <row r="80" spans="1:11" ht="16" x14ac:dyDescent="0.2">
      <c r="A80" s="34" t="s">
        <v>1</v>
      </c>
      <c r="B80" s="33" t="s">
        <v>1365</v>
      </c>
      <c r="C80" s="33"/>
      <c r="D80" s="33"/>
      <c r="E80" s="33"/>
      <c r="F80" s="33"/>
      <c r="G80" s="33"/>
      <c r="H80" s="33"/>
      <c r="J80" s="28">
        <v>0</v>
      </c>
      <c r="K80" s="19"/>
    </row>
    <row r="81" spans="1:11" ht="16" x14ac:dyDescent="0.2">
      <c r="A81" s="34" t="s">
        <v>2</v>
      </c>
      <c r="B81" s="33" t="s">
        <v>782</v>
      </c>
      <c r="C81" s="33"/>
      <c r="D81" s="33"/>
      <c r="E81" s="33"/>
      <c r="F81" s="33"/>
      <c r="G81" s="33"/>
      <c r="H81" s="33"/>
      <c r="J81" s="38">
        <v>0</v>
      </c>
      <c r="K81" s="19"/>
    </row>
    <row r="82" spans="1:11" ht="16" x14ac:dyDescent="0.2">
      <c r="A82" s="34" t="s">
        <v>3</v>
      </c>
      <c r="B82" s="33" t="s">
        <v>1189</v>
      </c>
      <c r="C82" s="33"/>
      <c r="D82" s="33"/>
      <c r="E82" s="33"/>
      <c r="F82" s="33"/>
      <c r="G82" s="33"/>
      <c r="H82" s="33"/>
      <c r="J82" s="38">
        <v>0</v>
      </c>
      <c r="K82" s="19"/>
    </row>
    <row r="83" spans="1:11" s="27" customFormat="1" x14ac:dyDescent="0.2"/>
    <row r="84" spans="1:11" x14ac:dyDescent="0.2">
      <c r="A84" s="37" t="s">
        <v>2117</v>
      </c>
      <c r="B84" s="37"/>
      <c r="C84" s="37"/>
      <c r="D84" s="37"/>
      <c r="E84" s="37"/>
      <c r="F84" s="37"/>
      <c r="G84" s="37"/>
      <c r="H84" s="37"/>
      <c r="I84" s="36" t="s">
        <v>1858</v>
      </c>
    </row>
    <row r="85" spans="1:11" x14ac:dyDescent="0.2">
      <c r="A85" s="35" t="s">
        <v>2116</v>
      </c>
      <c r="B85" s="35"/>
      <c r="C85" s="35"/>
      <c r="D85" s="35"/>
      <c r="E85" s="35"/>
      <c r="F85" s="35"/>
      <c r="G85" s="35"/>
      <c r="H85" s="35"/>
      <c r="I85" s="35"/>
    </row>
    <row r="86" spans="1:11" x14ac:dyDescent="0.2">
      <c r="A86" s="35"/>
      <c r="B86" s="35"/>
      <c r="C86" s="35"/>
      <c r="D86" s="35"/>
      <c r="E86" s="35"/>
      <c r="F86" s="35"/>
      <c r="G86" s="35"/>
      <c r="H86" s="35"/>
      <c r="I86" s="35"/>
    </row>
    <row r="87" spans="1:11" x14ac:dyDescent="0.2">
      <c r="A87" s="35"/>
      <c r="B87" s="35"/>
      <c r="C87" s="35"/>
      <c r="D87" s="35"/>
      <c r="E87" s="35"/>
      <c r="F87" s="35"/>
      <c r="G87" s="35"/>
      <c r="H87" s="35"/>
      <c r="I87" s="35"/>
    </row>
    <row r="88" spans="1:11" x14ac:dyDescent="0.2">
      <c r="A88" s="35"/>
      <c r="B88" s="35"/>
      <c r="C88" s="35"/>
      <c r="D88" s="35"/>
      <c r="E88" s="35"/>
      <c r="F88" s="35"/>
      <c r="G88" s="35"/>
      <c r="H88" s="35"/>
      <c r="I88" s="35"/>
    </row>
    <row r="89" spans="1:11" ht="16" x14ac:dyDescent="0.2">
      <c r="A89" s="34" t="s">
        <v>0</v>
      </c>
      <c r="B89" s="33" t="s">
        <v>2115</v>
      </c>
      <c r="C89" s="33"/>
      <c r="D89" s="33"/>
      <c r="E89" s="33"/>
      <c r="F89" s="33"/>
      <c r="G89" s="33"/>
      <c r="H89" s="33"/>
      <c r="J89" s="28">
        <v>0</v>
      </c>
      <c r="K89" s="19">
        <f>SUM(J89:J92)</f>
        <v>0</v>
      </c>
    </row>
    <row r="90" spans="1:11" ht="16" x14ac:dyDescent="0.2">
      <c r="A90" s="34" t="s">
        <v>1</v>
      </c>
      <c r="B90" s="33" t="s">
        <v>2114</v>
      </c>
      <c r="C90" s="33"/>
      <c r="D90" s="33"/>
      <c r="E90" s="33"/>
      <c r="F90" s="33"/>
      <c r="G90" s="33"/>
      <c r="H90" s="33"/>
      <c r="J90" s="28">
        <v>0</v>
      </c>
      <c r="K90" s="19"/>
    </row>
    <row r="91" spans="1:11" ht="28.75" customHeight="1" x14ac:dyDescent="0.2">
      <c r="A91" s="34" t="s">
        <v>2</v>
      </c>
      <c r="B91" s="33" t="s">
        <v>2113</v>
      </c>
      <c r="C91" s="33"/>
      <c r="D91" s="33"/>
      <c r="E91" s="33"/>
      <c r="F91" s="33"/>
      <c r="G91" s="33"/>
      <c r="H91" s="33"/>
      <c r="J91" s="28">
        <f>IF(ISNUMBER(SEARCH("x",I91)),1,0)</f>
        <v>0</v>
      </c>
      <c r="K91" s="19"/>
    </row>
    <row r="92" spans="1:11" ht="16" x14ac:dyDescent="0.2">
      <c r="A92" s="34" t="s">
        <v>3</v>
      </c>
      <c r="B92" s="33" t="s">
        <v>2112</v>
      </c>
      <c r="C92" s="33"/>
      <c r="D92" s="33"/>
      <c r="E92" s="33"/>
      <c r="F92" s="33"/>
      <c r="G92" s="33"/>
      <c r="H92" s="33"/>
      <c r="J92" s="38">
        <v>0</v>
      </c>
      <c r="K92" s="19"/>
    </row>
    <row r="93" spans="1:11" s="27" customFormat="1" x14ac:dyDescent="0.2"/>
    <row r="94" spans="1:11" x14ac:dyDescent="0.2">
      <c r="A94" s="37" t="s">
        <v>2111</v>
      </c>
      <c r="B94" s="37"/>
      <c r="C94" s="37"/>
      <c r="D94" s="37"/>
      <c r="E94" s="37"/>
      <c r="F94" s="37"/>
      <c r="G94" s="37"/>
      <c r="H94" s="37"/>
      <c r="I94" s="36" t="s">
        <v>1858</v>
      </c>
    </row>
    <row r="95" spans="1:11" x14ac:dyDescent="0.2">
      <c r="A95" s="35" t="s">
        <v>2110</v>
      </c>
      <c r="B95" s="35"/>
      <c r="C95" s="35"/>
      <c r="D95" s="35"/>
      <c r="E95" s="35"/>
      <c r="F95" s="35"/>
      <c r="G95" s="35"/>
      <c r="H95" s="35"/>
      <c r="I95" s="35"/>
    </row>
    <row r="96" spans="1:11" x14ac:dyDescent="0.2">
      <c r="A96" s="35"/>
      <c r="B96" s="35"/>
      <c r="C96" s="35"/>
      <c r="D96" s="35"/>
      <c r="E96" s="35"/>
      <c r="F96" s="35"/>
      <c r="G96" s="35"/>
      <c r="H96" s="35"/>
      <c r="I96" s="35"/>
    </row>
    <row r="97" spans="1:11" x14ac:dyDescent="0.2">
      <c r="A97" s="35"/>
      <c r="B97" s="35"/>
      <c r="C97" s="35"/>
      <c r="D97" s="35"/>
      <c r="E97" s="35"/>
      <c r="F97" s="35"/>
      <c r="G97" s="35"/>
      <c r="H97" s="35"/>
      <c r="I97" s="35"/>
    </row>
    <row r="98" spans="1:11" x14ac:dyDescent="0.2">
      <c r="A98" s="35"/>
      <c r="B98" s="35"/>
      <c r="C98" s="35"/>
      <c r="D98" s="35"/>
      <c r="E98" s="35"/>
      <c r="F98" s="35"/>
      <c r="G98" s="35"/>
      <c r="H98" s="35"/>
      <c r="I98" s="35"/>
    </row>
    <row r="99" spans="1:11" ht="16" x14ac:dyDescent="0.2">
      <c r="A99" s="34" t="s">
        <v>0</v>
      </c>
      <c r="B99" s="33" t="s">
        <v>2109</v>
      </c>
      <c r="C99" s="33"/>
      <c r="D99" s="33"/>
      <c r="E99" s="33"/>
      <c r="F99" s="33"/>
      <c r="G99" s="33"/>
      <c r="H99" s="33"/>
      <c r="J99" s="28">
        <v>0</v>
      </c>
      <c r="K99" s="19">
        <f>SUM(J99:J102)</f>
        <v>0</v>
      </c>
    </row>
    <row r="100" spans="1:11" ht="16" x14ac:dyDescent="0.2">
      <c r="A100" s="34" t="s">
        <v>1</v>
      </c>
      <c r="B100" s="33" t="s">
        <v>2108</v>
      </c>
      <c r="C100" s="33"/>
      <c r="D100" s="33"/>
      <c r="E100" s="33"/>
      <c r="F100" s="33"/>
      <c r="G100" s="33"/>
      <c r="H100" s="33"/>
      <c r="J100" s="28">
        <v>0</v>
      </c>
      <c r="K100" s="19"/>
    </row>
    <row r="101" spans="1:11" ht="16" x14ac:dyDescent="0.2">
      <c r="A101" s="34" t="s">
        <v>2</v>
      </c>
      <c r="B101" s="33" t="s">
        <v>2107</v>
      </c>
      <c r="C101" s="33"/>
      <c r="D101" s="33"/>
      <c r="E101" s="33"/>
      <c r="F101" s="33"/>
      <c r="G101" s="33"/>
      <c r="H101" s="33"/>
      <c r="J101" s="38">
        <v>0</v>
      </c>
      <c r="K101" s="19"/>
    </row>
    <row r="102" spans="1:11" ht="16" x14ac:dyDescent="0.2">
      <c r="A102" s="34" t="s">
        <v>3</v>
      </c>
      <c r="B102" s="33" t="s">
        <v>2106</v>
      </c>
      <c r="C102" s="33"/>
      <c r="D102" s="33"/>
      <c r="E102" s="33"/>
      <c r="F102" s="33"/>
      <c r="G102" s="33"/>
      <c r="H102" s="33"/>
      <c r="J102" s="28">
        <f>IF(ISNUMBER(SEARCH("x",I102)),1,0)</f>
        <v>0</v>
      </c>
      <c r="K102" s="19"/>
    </row>
    <row r="103" spans="1:11" s="27" customFormat="1" x14ac:dyDescent="0.2"/>
    <row r="104" spans="1:11" x14ac:dyDescent="0.2">
      <c r="A104" s="37" t="s">
        <v>2105</v>
      </c>
      <c r="B104" s="37"/>
      <c r="C104" s="37"/>
      <c r="D104" s="37"/>
      <c r="E104" s="37"/>
      <c r="F104" s="37"/>
      <c r="G104" s="37"/>
      <c r="H104" s="37"/>
      <c r="I104" s="36" t="s">
        <v>1858</v>
      </c>
    </row>
    <row r="105" spans="1:11" x14ac:dyDescent="0.2">
      <c r="A105" s="35" t="s">
        <v>2104</v>
      </c>
      <c r="B105" s="35"/>
      <c r="C105" s="35"/>
      <c r="D105" s="35"/>
      <c r="E105" s="35"/>
      <c r="F105" s="35"/>
      <c r="G105" s="35"/>
      <c r="H105" s="35"/>
      <c r="I105" s="35"/>
    </row>
    <row r="106" spans="1:11" x14ac:dyDescent="0.2">
      <c r="A106" s="35"/>
      <c r="B106" s="35"/>
      <c r="C106" s="35"/>
      <c r="D106" s="35"/>
      <c r="E106" s="35"/>
      <c r="F106" s="35"/>
      <c r="G106" s="35"/>
      <c r="H106" s="35"/>
      <c r="I106" s="35"/>
    </row>
    <row r="107" spans="1:11" x14ac:dyDescent="0.2">
      <c r="A107" s="35"/>
      <c r="B107" s="35"/>
      <c r="C107" s="35"/>
      <c r="D107" s="35"/>
      <c r="E107" s="35"/>
      <c r="F107" s="35"/>
      <c r="G107" s="35"/>
      <c r="H107" s="35"/>
      <c r="I107" s="35"/>
    </row>
    <row r="108" spans="1:11" x14ac:dyDescent="0.2">
      <c r="A108" s="35"/>
      <c r="B108" s="35"/>
      <c r="C108" s="35"/>
      <c r="D108" s="35"/>
      <c r="E108" s="35"/>
      <c r="F108" s="35"/>
      <c r="G108" s="35"/>
      <c r="H108" s="35"/>
      <c r="I108" s="35"/>
    </row>
    <row r="109" spans="1:11" ht="16" x14ac:dyDescent="0.2">
      <c r="A109" s="34" t="s">
        <v>0</v>
      </c>
      <c r="B109" s="33" t="s">
        <v>1683</v>
      </c>
      <c r="C109" s="33"/>
      <c r="D109" s="33"/>
      <c r="E109" s="33"/>
      <c r="F109" s="33"/>
      <c r="G109" s="33"/>
      <c r="H109" s="33"/>
      <c r="J109" s="28">
        <v>0</v>
      </c>
      <c r="K109" s="19">
        <f>SUM(J109:J112)</f>
        <v>0</v>
      </c>
    </row>
    <row r="110" spans="1:11" ht="16" x14ac:dyDescent="0.2">
      <c r="A110" s="34" t="s">
        <v>1</v>
      </c>
      <c r="B110" s="33" t="s">
        <v>2103</v>
      </c>
      <c r="C110" s="33"/>
      <c r="D110" s="33"/>
      <c r="E110" s="33"/>
      <c r="F110" s="33"/>
      <c r="G110" s="33"/>
      <c r="H110" s="33"/>
      <c r="J110" s="28">
        <f>IF(ISNUMBER(SEARCH("x",I110)),1,0)</f>
        <v>0</v>
      </c>
      <c r="K110" s="19"/>
    </row>
    <row r="111" spans="1:11" ht="16" x14ac:dyDescent="0.2">
      <c r="A111" s="34" t="s">
        <v>2</v>
      </c>
      <c r="B111" s="33" t="s">
        <v>1222</v>
      </c>
      <c r="C111" s="33"/>
      <c r="D111" s="33"/>
      <c r="E111" s="33"/>
      <c r="F111" s="33"/>
      <c r="G111" s="33"/>
      <c r="H111" s="33"/>
      <c r="J111" s="38">
        <v>0</v>
      </c>
      <c r="K111" s="19"/>
    </row>
    <row r="112" spans="1:11" ht="16" x14ac:dyDescent="0.2">
      <c r="A112" s="34" t="s">
        <v>3</v>
      </c>
      <c r="B112" s="33" t="s">
        <v>1220</v>
      </c>
      <c r="C112" s="33"/>
      <c r="D112" s="33"/>
      <c r="E112" s="33"/>
      <c r="F112" s="33"/>
      <c r="G112" s="33"/>
      <c r="H112" s="33"/>
      <c r="J112" s="28">
        <v>0</v>
      </c>
      <c r="K112" s="19"/>
    </row>
    <row r="113" spans="1:11" s="27" customFormat="1" x14ac:dyDescent="0.2"/>
    <row r="114" spans="1:11" x14ac:dyDescent="0.2">
      <c r="A114" s="37" t="s">
        <v>2102</v>
      </c>
      <c r="B114" s="37"/>
      <c r="C114" s="37"/>
      <c r="D114" s="37"/>
      <c r="E114" s="37"/>
      <c r="F114" s="37"/>
      <c r="G114" s="37"/>
      <c r="H114" s="37"/>
      <c r="I114" s="36" t="s">
        <v>1858</v>
      </c>
    </row>
    <row r="115" spans="1:11" x14ac:dyDescent="0.2">
      <c r="A115" s="35" t="s">
        <v>2101</v>
      </c>
      <c r="B115" s="35"/>
      <c r="C115" s="35"/>
      <c r="D115" s="35"/>
      <c r="E115" s="35"/>
      <c r="F115" s="35"/>
      <c r="G115" s="35"/>
      <c r="H115" s="35"/>
      <c r="I115" s="35"/>
    </row>
    <row r="116" spans="1:11" x14ac:dyDescent="0.2">
      <c r="A116" s="35"/>
      <c r="B116" s="35"/>
      <c r="C116" s="35"/>
      <c r="D116" s="35"/>
      <c r="E116" s="35"/>
      <c r="F116" s="35"/>
      <c r="G116" s="35"/>
      <c r="H116" s="35"/>
      <c r="I116" s="35"/>
    </row>
    <row r="117" spans="1:11" x14ac:dyDescent="0.2">
      <c r="A117" s="35"/>
      <c r="B117" s="35"/>
      <c r="C117" s="35"/>
      <c r="D117" s="35"/>
      <c r="E117" s="35"/>
      <c r="F117" s="35"/>
      <c r="G117" s="35"/>
      <c r="H117" s="35"/>
      <c r="I117" s="35"/>
    </row>
    <row r="118" spans="1:11" x14ac:dyDescent="0.2">
      <c r="A118" s="35"/>
      <c r="B118" s="35"/>
      <c r="C118" s="35"/>
      <c r="D118" s="35"/>
      <c r="E118" s="35"/>
      <c r="F118" s="35"/>
      <c r="G118" s="35"/>
      <c r="H118" s="35"/>
      <c r="I118" s="35"/>
    </row>
    <row r="119" spans="1:11" ht="16" x14ac:dyDescent="0.2">
      <c r="A119" s="34" t="s">
        <v>0</v>
      </c>
      <c r="B119" s="33" t="s">
        <v>2100</v>
      </c>
      <c r="C119" s="33"/>
      <c r="D119" s="33"/>
      <c r="E119" s="33"/>
      <c r="F119" s="33"/>
      <c r="G119" s="33"/>
      <c r="H119" s="33"/>
      <c r="J119" s="28">
        <v>0</v>
      </c>
      <c r="K119" s="19">
        <f>SUM(J119:J122)</f>
        <v>0</v>
      </c>
    </row>
    <row r="120" spans="1:11" ht="16" x14ac:dyDescent="0.2">
      <c r="A120" s="34" t="s">
        <v>1</v>
      </c>
      <c r="B120" s="33" t="s">
        <v>2099</v>
      </c>
      <c r="C120" s="33"/>
      <c r="D120" s="33"/>
      <c r="E120" s="33"/>
      <c r="F120" s="33"/>
      <c r="G120" s="33"/>
      <c r="H120" s="33"/>
      <c r="J120" s="28">
        <f>IF(ISNUMBER(SEARCH("x",I120)),1,0)</f>
        <v>0</v>
      </c>
      <c r="K120" s="19"/>
    </row>
    <row r="121" spans="1:11" ht="16" x14ac:dyDescent="0.2">
      <c r="A121" s="34" t="s">
        <v>2</v>
      </c>
      <c r="B121" s="33" t="s">
        <v>2098</v>
      </c>
      <c r="C121" s="33"/>
      <c r="D121" s="33"/>
      <c r="E121" s="33"/>
      <c r="F121" s="33"/>
      <c r="G121" s="33"/>
      <c r="H121" s="33"/>
      <c r="J121" s="38">
        <v>0</v>
      </c>
      <c r="K121" s="19"/>
    </row>
    <row r="122" spans="1:11" ht="16" x14ac:dyDescent="0.2">
      <c r="A122" s="34" t="s">
        <v>3</v>
      </c>
      <c r="B122" s="33" t="s">
        <v>2097</v>
      </c>
      <c r="C122" s="33"/>
      <c r="D122" s="33"/>
      <c r="E122" s="33"/>
      <c r="F122" s="33"/>
      <c r="G122" s="33"/>
      <c r="H122" s="33"/>
      <c r="J122" s="28">
        <v>0</v>
      </c>
      <c r="K122" s="19"/>
    </row>
    <row r="123" spans="1:11" s="27" customFormat="1" x14ac:dyDescent="0.2"/>
    <row r="124" spans="1:11" x14ac:dyDescent="0.2">
      <c r="A124" s="37" t="s">
        <v>2096</v>
      </c>
      <c r="B124" s="37"/>
      <c r="C124" s="37"/>
      <c r="D124" s="37"/>
      <c r="E124" s="37"/>
      <c r="F124" s="37"/>
      <c r="G124" s="37"/>
      <c r="H124" s="37"/>
      <c r="I124" s="36" t="s">
        <v>1858</v>
      </c>
    </row>
    <row r="125" spans="1:11" x14ac:dyDescent="0.2">
      <c r="A125" s="35" t="s">
        <v>2095</v>
      </c>
      <c r="B125" s="35"/>
      <c r="C125" s="35"/>
      <c r="D125" s="35"/>
      <c r="E125" s="35"/>
      <c r="F125" s="35"/>
      <c r="G125" s="35"/>
      <c r="H125" s="35"/>
      <c r="I125" s="35"/>
    </row>
    <row r="126" spans="1:11" x14ac:dyDescent="0.2">
      <c r="A126" s="35"/>
      <c r="B126" s="35"/>
      <c r="C126" s="35"/>
      <c r="D126" s="35"/>
      <c r="E126" s="35"/>
      <c r="F126" s="35"/>
      <c r="G126" s="35"/>
      <c r="H126" s="35"/>
      <c r="I126" s="35"/>
    </row>
    <row r="127" spans="1:11" x14ac:dyDescent="0.2">
      <c r="A127" s="35"/>
      <c r="B127" s="35"/>
      <c r="C127" s="35"/>
      <c r="D127" s="35"/>
      <c r="E127" s="35"/>
      <c r="F127" s="35"/>
      <c r="G127" s="35"/>
      <c r="H127" s="35"/>
      <c r="I127" s="35"/>
    </row>
    <row r="128" spans="1:11" x14ac:dyDescent="0.2">
      <c r="A128" s="35"/>
      <c r="B128" s="35"/>
      <c r="C128" s="35"/>
      <c r="D128" s="35"/>
      <c r="E128" s="35"/>
      <c r="F128" s="35"/>
      <c r="G128" s="35"/>
      <c r="H128" s="35"/>
      <c r="I128" s="35"/>
    </row>
    <row r="129" spans="1:11" ht="16" x14ac:dyDescent="0.2">
      <c r="A129" s="34" t="s">
        <v>0</v>
      </c>
      <c r="B129" s="33" t="s">
        <v>2094</v>
      </c>
      <c r="C129" s="33"/>
      <c r="D129" s="33"/>
      <c r="E129" s="33"/>
      <c r="F129" s="33"/>
      <c r="G129" s="33"/>
      <c r="H129" s="33"/>
      <c r="J129" s="28">
        <v>0</v>
      </c>
      <c r="K129" s="19">
        <f>SUM(J129:J132)</f>
        <v>0</v>
      </c>
    </row>
    <row r="130" spans="1:11" ht="16" x14ac:dyDescent="0.2">
      <c r="A130" s="34" t="s">
        <v>1</v>
      </c>
      <c r="B130" s="33" t="s">
        <v>20</v>
      </c>
      <c r="C130" s="33"/>
      <c r="D130" s="33"/>
      <c r="E130" s="33"/>
      <c r="F130" s="33"/>
      <c r="G130" s="33"/>
      <c r="H130" s="33"/>
      <c r="J130" s="28">
        <v>0</v>
      </c>
      <c r="K130" s="19"/>
    </row>
    <row r="131" spans="1:11" ht="16" x14ac:dyDescent="0.2">
      <c r="A131" s="34" t="s">
        <v>2</v>
      </c>
      <c r="B131" s="33" t="s">
        <v>1913</v>
      </c>
      <c r="C131" s="33"/>
      <c r="D131" s="33"/>
      <c r="E131" s="33"/>
      <c r="F131" s="33"/>
      <c r="G131" s="33"/>
      <c r="H131" s="33"/>
      <c r="J131" s="28">
        <v>0</v>
      </c>
      <c r="K131" s="19"/>
    </row>
    <row r="132" spans="1:11" ht="16" x14ac:dyDescent="0.2">
      <c r="A132" s="34" t="s">
        <v>3</v>
      </c>
      <c r="B132" s="33" t="s">
        <v>395</v>
      </c>
      <c r="C132" s="33"/>
      <c r="D132" s="33"/>
      <c r="E132" s="33"/>
      <c r="F132" s="33"/>
      <c r="G132" s="33"/>
      <c r="H132" s="33"/>
      <c r="J132" s="28">
        <f>IF(ISNUMBER(SEARCH("x",I132)),1,0)</f>
        <v>0</v>
      </c>
      <c r="K132" s="19"/>
    </row>
    <row r="133" spans="1:11" s="27" customFormat="1" x14ac:dyDescent="0.2"/>
    <row r="134" spans="1:11" x14ac:dyDescent="0.2">
      <c r="A134" s="37" t="s">
        <v>2093</v>
      </c>
      <c r="B134" s="37"/>
      <c r="C134" s="37"/>
      <c r="D134" s="37"/>
      <c r="E134" s="37"/>
      <c r="F134" s="37"/>
      <c r="G134" s="37"/>
      <c r="H134" s="37"/>
      <c r="I134" s="36" t="s">
        <v>1858</v>
      </c>
    </row>
    <row r="135" spans="1:11" x14ac:dyDescent="0.2">
      <c r="A135" s="35" t="s">
        <v>2092</v>
      </c>
      <c r="B135" s="35"/>
      <c r="C135" s="35"/>
      <c r="D135" s="35"/>
      <c r="E135" s="35"/>
      <c r="F135" s="35"/>
      <c r="G135" s="35"/>
      <c r="H135" s="35"/>
      <c r="I135" s="35"/>
    </row>
    <row r="136" spans="1:11" x14ac:dyDescent="0.2">
      <c r="A136" s="35"/>
      <c r="B136" s="35"/>
      <c r="C136" s="35"/>
      <c r="D136" s="35"/>
      <c r="E136" s="35"/>
      <c r="F136" s="35"/>
      <c r="G136" s="35"/>
      <c r="H136" s="35"/>
      <c r="I136" s="35"/>
    </row>
    <row r="137" spans="1:11" x14ac:dyDescent="0.2">
      <c r="A137" s="35"/>
      <c r="B137" s="35"/>
      <c r="C137" s="35"/>
      <c r="D137" s="35"/>
      <c r="E137" s="35"/>
      <c r="F137" s="35"/>
      <c r="G137" s="35"/>
      <c r="H137" s="35"/>
      <c r="I137" s="35"/>
    </row>
    <row r="138" spans="1:11" x14ac:dyDescent="0.2">
      <c r="A138" s="35"/>
      <c r="B138" s="35"/>
      <c r="C138" s="35"/>
      <c r="D138" s="35"/>
      <c r="E138" s="35"/>
      <c r="F138" s="35"/>
      <c r="G138" s="35"/>
      <c r="H138" s="35"/>
      <c r="I138" s="35"/>
    </row>
    <row r="139" spans="1:11" ht="16" x14ac:dyDescent="0.2">
      <c r="A139" s="34" t="s">
        <v>0</v>
      </c>
      <c r="B139" s="33" t="s">
        <v>2091</v>
      </c>
      <c r="C139" s="33"/>
      <c r="D139" s="33"/>
      <c r="E139" s="33"/>
      <c r="F139" s="33"/>
      <c r="G139" s="33"/>
      <c r="H139" s="33"/>
      <c r="J139" s="28">
        <v>0</v>
      </c>
      <c r="K139" s="19">
        <f>SUM(J139:J142)</f>
        <v>0</v>
      </c>
    </row>
    <row r="140" spans="1:11" ht="16" x14ac:dyDescent="0.2">
      <c r="A140" s="34" t="s">
        <v>1</v>
      </c>
      <c r="B140" s="33" t="s">
        <v>1909</v>
      </c>
      <c r="C140" s="33"/>
      <c r="D140" s="33"/>
      <c r="E140" s="33"/>
      <c r="F140" s="33"/>
      <c r="G140" s="33"/>
      <c r="H140" s="33"/>
      <c r="J140" s="28">
        <v>0</v>
      </c>
      <c r="K140" s="19"/>
    </row>
    <row r="141" spans="1:11" ht="16" x14ac:dyDescent="0.2">
      <c r="A141" s="34" t="s">
        <v>2</v>
      </c>
      <c r="B141" s="33" t="s">
        <v>2090</v>
      </c>
      <c r="C141" s="33"/>
      <c r="D141" s="33"/>
      <c r="E141" s="33"/>
      <c r="F141" s="33"/>
      <c r="G141" s="33"/>
      <c r="H141" s="33"/>
      <c r="J141" s="28">
        <f>IF(ISNUMBER(SEARCH("x",I141)),1,0)</f>
        <v>0</v>
      </c>
      <c r="K141" s="19"/>
    </row>
    <row r="142" spans="1:11" ht="16" x14ac:dyDescent="0.2">
      <c r="A142" s="34" t="s">
        <v>3</v>
      </c>
      <c r="B142" s="33" t="s">
        <v>2089</v>
      </c>
      <c r="C142" s="33"/>
      <c r="D142" s="33"/>
      <c r="E142" s="33"/>
      <c r="F142" s="33"/>
      <c r="G142" s="33"/>
      <c r="H142" s="33"/>
      <c r="J142" s="28">
        <v>0</v>
      </c>
      <c r="K142" s="19"/>
    </row>
    <row r="143" spans="1:11" s="27" customFormat="1" x14ac:dyDescent="0.2"/>
    <row r="144" spans="1:11" x14ac:dyDescent="0.2">
      <c r="A144" s="37" t="s">
        <v>2088</v>
      </c>
      <c r="B144" s="37"/>
      <c r="C144" s="37"/>
      <c r="D144" s="37"/>
      <c r="E144" s="37"/>
      <c r="F144" s="37"/>
      <c r="G144" s="37"/>
      <c r="H144" s="37"/>
      <c r="I144" s="36" t="s">
        <v>1858</v>
      </c>
    </row>
    <row r="145" spans="1:11" x14ac:dyDescent="0.2">
      <c r="A145" s="35" t="s">
        <v>2087</v>
      </c>
      <c r="B145" s="35"/>
      <c r="C145" s="35"/>
      <c r="D145" s="35"/>
      <c r="E145" s="35"/>
      <c r="F145" s="35"/>
      <c r="G145" s="35"/>
      <c r="H145" s="35"/>
      <c r="I145" s="35"/>
    </row>
    <row r="146" spans="1:11" x14ac:dyDescent="0.2">
      <c r="A146" s="35"/>
      <c r="B146" s="35"/>
      <c r="C146" s="35"/>
      <c r="D146" s="35"/>
      <c r="E146" s="35"/>
      <c r="F146" s="35"/>
      <c r="G146" s="35"/>
      <c r="H146" s="35"/>
      <c r="I146" s="35"/>
    </row>
    <row r="147" spans="1:11" x14ac:dyDescent="0.2">
      <c r="A147" s="35"/>
      <c r="B147" s="35"/>
      <c r="C147" s="35"/>
      <c r="D147" s="35"/>
      <c r="E147" s="35"/>
      <c r="F147" s="35"/>
      <c r="G147" s="35"/>
      <c r="H147" s="35"/>
      <c r="I147" s="35"/>
    </row>
    <row r="148" spans="1:11" x14ac:dyDescent="0.2">
      <c r="A148" s="35"/>
      <c r="B148" s="35"/>
      <c r="C148" s="35"/>
      <c r="D148" s="35"/>
      <c r="E148" s="35"/>
      <c r="F148" s="35"/>
      <c r="G148" s="35"/>
      <c r="H148" s="35"/>
      <c r="I148" s="35"/>
    </row>
    <row r="149" spans="1:11" ht="16" x14ac:dyDescent="0.2">
      <c r="A149" s="34" t="s">
        <v>0</v>
      </c>
      <c r="B149" s="33" t="s">
        <v>2086</v>
      </c>
      <c r="C149" s="33"/>
      <c r="D149" s="33"/>
      <c r="E149" s="33"/>
      <c r="F149" s="33"/>
      <c r="G149" s="33"/>
      <c r="H149" s="33"/>
      <c r="J149" s="28">
        <v>0</v>
      </c>
      <c r="K149" s="19">
        <f>SUM(J149:J152)</f>
        <v>0</v>
      </c>
    </row>
    <row r="150" spans="1:11" ht="16" x14ac:dyDescent="0.2">
      <c r="A150" s="34" t="s">
        <v>1</v>
      </c>
      <c r="B150" s="33" t="s">
        <v>2085</v>
      </c>
      <c r="C150" s="33"/>
      <c r="D150" s="33"/>
      <c r="E150" s="33"/>
      <c r="F150" s="33"/>
      <c r="G150" s="33"/>
      <c r="H150" s="33"/>
      <c r="J150" s="28">
        <f>IF(ISNUMBER(SEARCH("x",I150)),1,0)</f>
        <v>0</v>
      </c>
      <c r="K150" s="19"/>
    </row>
    <row r="151" spans="1:11" ht="16" x14ac:dyDescent="0.2">
      <c r="A151" s="34" t="s">
        <v>2</v>
      </c>
      <c r="B151" s="33" t="s">
        <v>2084</v>
      </c>
      <c r="C151" s="33"/>
      <c r="D151" s="33"/>
      <c r="E151" s="33"/>
      <c r="F151" s="33"/>
      <c r="G151" s="33"/>
      <c r="H151" s="33"/>
      <c r="J151" s="38">
        <v>0</v>
      </c>
      <c r="K151" s="19"/>
    </row>
    <row r="152" spans="1:11" ht="16" x14ac:dyDescent="0.2">
      <c r="A152" s="34" t="s">
        <v>3</v>
      </c>
      <c r="B152" s="33" t="s">
        <v>2083</v>
      </c>
      <c r="C152" s="33"/>
      <c r="D152" s="33"/>
      <c r="E152" s="33"/>
      <c r="F152" s="33"/>
      <c r="G152" s="33"/>
      <c r="H152" s="33"/>
      <c r="J152" s="28">
        <v>0</v>
      </c>
      <c r="K152" s="19"/>
    </row>
    <row r="153" spans="1:11" s="27" customFormat="1" x14ac:dyDescent="0.2"/>
    <row r="154" spans="1:11" x14ac:dyDescent="0.2">
      <c r="A154" s="37" t="s">
        <v>2082</v>
      </c>
      <c r="B154" s="37"/>
      <c r="C154" s="37"/>
      <c r="D154" s="37"/>
      <c r="E154" s="37"/>
      <c r="F154" s="37"/>
      <c r="G154" s="37"/>
      <c r="H154" s="37"/>
      <c r="I154" s="36" t="s">
        <v>1858</v>
      </c>
    </row>
    <row r="155" spans="1:11" x14ac:dyDescent="0.2">
      <c r="A155" s="35" t="s">
        <v>2081</v>
      </c>
      <c r="B155" s="35"/>
      <c r="C155" s="35"/>
      <c r="D155" s="35"/>
      <c r="E155" s="35"/>
      <c r="F155" s="35"/>
      <c r="G155" s="35"/>
      <c r="H155" s="35"/>
      <c r="I155" s="35"/>
    </row>
    <row r="156" spans="1:11" x14ac:dyDescent="0.2">
      <c r="A156" s="35"/>
      <c r="B156" s="35"/>
      <c r="C156" s="35"/>
      <c r="D156" s="35"/>
      <c r="E156" s="35"/>
      <c r="F156" s="35"/>
      <c r="G156" s="35"/>
      <c r="H156" s="35"/>
      <c r="I156" s="35"/>
    </row>
    <row r="157" spans="1:11" x14ac:dyDescent="0.2">
      <c r="A157" s="35"/>
      <c r="B157" s="35"/>
      <c r="C157" s="35"/>
      <c r="D157" s="35"/>
      <c r="E157" s="35"/>
      <c r="F157" s="35"/>
      <c r="G157" s="35"/>
      <c r="H157" s="35"/>
      <c r="I157" s="35"/>
    </row>
    <row r="158" spans="1:11" x14ac:dyDescent="0.2">
      <c r="A158" s="35"/>
      <c r="B158" s="35"/>
      <c r="C158" s="35"/>
      <c r="D158" s="35"/>
      <c r="E158" s="35"/>
      <c r="F158" s="35"/>
      <c r="G158" s="35"/>
      <c r="H158" s="35"/>
      <c r="I158" s="35"/>
    </row>
    <row r="159" spans="1:11" ht="16" x14ac:dyDescent="0.2">
      <c r="A159" s="34" t="s">
        <v>0</v>
      </c>
      <c r="B159" s="33" t="s">
        <v>1454</v>
      </c>
      <c r="C159" s="33"/>
      <c r="D159" s="33"/>
      <c r="E159" s="33"/>
      <c r="F159" s="33"/>
      <c r="G159" s="33"/>
      <c r="H159" s="33"/>
      <c r="J159" s="28">
        <v>0</v>
      </c>
      <c r="K159" s="19">
        <f>SUM(J159:J162)</f>
        <v>0</v>
      </c>
    </row>
    <row r="160" spans="1:11" ht="16" x14ac:dyDescent="0.2">
      <c r="A160" s="34" t="s">
        <v>1</v>
      </c>
      <c r="B160" s="33" t="s">
        <v>1254</v>
      </c>
      <c r="C160" s="33"/>
      <c r="D160" s="33"/>
      <c r="E160" s="33"/>
      <c r="F160" s="33"/>
      <c r="G160" s="33"/>
      <c r="H160" s="33"/>
      <c r="J160" s="28">
        <v>0</v>
      </c>
      <c r="K160" s="19"/>
    </row>
    <row r="161" spans="1:11" ht="16" x14ac:dyDescent="0.2">
      <c r="A161" s="34" t="s">
        <v>2</v>
      </c>
      <c r="B161" s="33" t="s">
        <v>1099</v>
      </c>
      <c r="C161" s="33"/>
      <c r="D161" s="33"/>
      <c r="E161" s="33"/>
      <c r="F161" s="33"/>
      <c r="G161" s="33"/>
      <c r="H161" s="33"/>
      <c r="J161" s="28">
        <f>IF(ISNUMBER(SEARCH("x",I161)),1,0)</f>
        <v>0</v>
      </c>
      <c r="K161" s="19"/>
    </row>
    <row r="162" spans="1:11" ht="16" x14ac:dyDescent="0.2">
      <c r="A162" s="34" t="s">
        <v>3</v>
      </c>
      <c r="B162" s="33" t="s">
        <v>1455</v>
      </c>
      <c r="C162" s="33"/>
      <c r="D162" s="33"/>
      <c r="E162" s="33"/>
      <c r="F162" s="33"/>
      <c r="G162" s="33"/>
      <c r="H162" s="33"/>
      <c r="J162" s="28">
        <v>0</v>
      </c>
      <c r="K162" s="19"/>
    </row>
    <row r="163" spans="1:11" s="27" customFormat="1" x14ac:dyDescent="0.2"/>
    <row r="164" spans="1:11" x14ac:dyDescent="0.2">
      <c r="A164" s="37" t="s">
        <v>2080</v>
      </c>
      <c r="B164" s="37"/>
      <c r="C164" s="37"/>
      <c r="D164" s="37"/>
      <c r="E164" s="37"/>
      <c r="F164" s="37"/>
      <c r="G164" s="37"/>
      <c r="H164" s="37"/>
      <c r="I164" s="36" t="s">
        <v>1858</v>
      </c>
    </row>
    <row r="165" spans="1:11" x14ac:dyDescent="0.2">
      <c r="A165" s="35" t="s">
        <v>2079</v>
      </c>
      <c r="B165" s="35"/>
      <c r="C165" s="35"/>
      <c r="D165" s="35"/>
      <c r="E165" s="35"/>
      <c r="F165" s="35"/>
      <c r="G165" s="35"/>
      <c r="H165" s="35"/>
      <c r="I165" s="35"/>
    </row>
    <row r="166" spans="1:11" x14ac:dyDescent="0.2">
      <c r="A166" s="35"/>
      <c r="B166" s="35"/>
      <c r="C166" s="35"/>
      <c r="D166" s="35"/>
      <c r="E166" s="35"/>
      <c r="F166" s="35"/>
      <c r="G166" s="35"/>
      <c r="H166" s="35"/>
      <c r="I166" s="35"/>
    </row>
    <row r="167" spans="1:11" x14ac:dyDescent="0.2">
      <c r="A167" s="35"/>
      <c r="B167" s="35"/>
      <c r="C167" s="35"/>
      <c r="D167" s="35"/>
      <c r="E167" s="35"/>
      <c r="F167" s="35"/>
      <c r="G167" s="35"/>
      <c r="H167" s="35"/>
      <c r="I167" s="35"/>
    </row>
    <row r="168" spans="1:11" x14ac:dyDescent="0.2">
      <c r="A168" s="35"/>
      <c r="B168" s="35"/>
      <c r="C168" s="35"/>
      <c r="D168" s="35"/>
      <c r="E168" s="35"/>
      <c r="F168" s="35"/>
      <c r="G168" s="35"/>
      <c r="H168" s="35"/>
      <c r="I168" s="35"/>
    </row>
    <row r="169" spans="1:11" ht="16" x14ac:dyDescent="0.2">
      <c r="A169" s="34" t="s">
        <v>0</v>
      </c>
      <c r="B169" s="33" t="s">
        <v>2078</v>
      </c>
      <c r="C169" s="33"/>
      <c r="D169" s="33"/>
      <c r="E169" s="33"/>
      <c r="F169" s="33"/>
      <c r="G169" s="33"/>
      <c r="H169" s="33"/>
      <c r="J169" s="28">
        <f>IF(ISNUMBER(SEARCH("x",I169)),1,0)</f>
        <v>0</v>
      </c>
      <c r="K169" s="19">
        <f>SUM(J169:J172)</f>
        <v>0</v>
      </c>
    </row>
    <row r="170" spans="1:11" ht="16" x14ac:dyDescent="0.2">
      <c r="A170" s="34" t="s">
        <v>1</v>
      </c>
      <c r="B170" s="33" t="s">
        <v>2077</v>
      </c>
      <c r="C170" s="33"/>
      <c r="D170" s="33"/>
      <c r="E170" s="33"/>
      <c r="F170" s="33"/>
      <c r="G170" s="33"/>
      <c r="H170" s="33"/>
      <c r="J170" s="28">
        <v>0</v>
      </c>
      <c r="K170" s="19"/>
    </row>
    <row r="171" spans="1:11" ht="16" x14ac:dyDescent="0.2">
      <c r="A171" s="34" t="s">
        <v>2</v>
      </c>
      <c r="B171" s="33" t="s">
        <v>1254</v>
      </c>
      <c r="C171" s="33"/>
      <c r="D171" s="33"/>
      <c r="E171" s="33"/>
      <c r="F171" s="33"/>
      <c r="G171" s="33"/>
      <c r="H171" s="33"/>
      <c r="J171" s="38">
        <v>0</v>
      </c>
      <c r="K171" s="19"/>
    </row>
    <row r="172" spans="1:11" ht="16" x14ac:dyDescent="0.2">
      <c r="A172" s="34" t="s">
        <v>3</v>
      </c>
      <c r="B172" s="33" t="s">
        <v>2076</v>
      </c>
      <c r="C172" s="33"/>
      <c r="D172" s="33"/>
      <c r="E172" s="33"/>
      <c r="F172" s="33"/>
      <c r="G172" s="33"/>
      <c r="H172" s="33"/>
      <c r="J172" s="38">
        <v>0</v>
      </c>
      <c r="K172" s="19"/>
    </row>
    <row r="173" spans="1:11" s="27" customFormat="1" x14ac:dyDescent="0.2"/>
    <row r="174" spans="1:11" x14ac:dyDescent="0.2">
      <c r="A174" s="37" t="s">
        <v>2075</v>
      </c>
      <c r="B174" s="37"/>
      <c r="C174" s="37"/>
      <c r="D174" s="37"/>
      <c r="E174" s="37"/>
      <c r="F174" s="37"/>
      <c r="G174" s="37"/>
      <c r="H174" s="37"/>
      <c r="I174" s="36" t="s">
        <v>1858</v>
      </c>
    </row>
    <row r="175" spans="1:11" x14ac:dyDescent="0.2">
      <c r="A175" s="35" t="s">
        <v>2074</v>
      </c>
      <c r="B175" s="35"/>
      <c r="C175" s="35"/>
      <c r="D175" s="35"/>
      <c r="E175" s="35"/>
      <c r="F175" s="35"/>
      <c r="G175" s="35"/>
      <c r="H175" s="35"/>
      <c r="I175" s="35"/>
    </row>
    <row r="176" spans="1:11" x14ac:dyDescent="0.2">
      <c r="A176" s="35"/>
      <c r="B176" s="35"/>
      <c r="C176" s="35"/>
      <c r="D176" s="35"/>
      <c r="E176" s="35"/>
      <c r="F176" s="35"/>
      <c r="G176" s="35"/>
      <c r="H176" s="35"/>
      <c r="I176" s="35"/>
    </row>
    <row r="177" spans="1:11" x14ac:dyDescent="0.2">
      <c r="A177" s="35"/>
      <c r="B177" s="35"/>
      <c r="C177" s="35"/>
      <c r="D177" s="35"/>
      <c r="E177" s="35"/>
      <c r="F177" s="35"/>
      <c r="G177" s="35"/>
      <c r="H177" s="35"/>
      <c r="I177" s="35"/>
    </row>
    <row r="178" spans="1:11" x14ac:dyDescent="0.2">
      <c r="A178" s="35"/>
      <c r="B178" s="35"/>
      <c r="C178" s="35"/>
      <c r="D178" s="35"/>
      <c r="E178" s="35"/>
      <c r="F178" s="35"/>
      <c r="G178" s="35"/>
      <c r="H178" s="35"/>
      <c r="I178" s="35"/>
    </row>
    <row r="179" spans="1:11" ht="16" x14ac:dyDescent="0.2">
      <c r="A179" s="34" t="s">
        <v>0</v>
      </c>
      <c r="B179" s="33" t="s">
        <v>2073</v>
      </c>
      <c r="C179" s="33"/>
      <c r="D179" s="33"/>
      <c r="E179" s="33"/>
      <c r="F179" s="33"/>
      <c r="G179" s="33"/>
      <c r="H179" s="33"/>
      <c r="J179" s="28">
        <v>0</v>
      </c>
      <c r="K179" s="19">
        <f>SUM(J179:J182)</f>
        <v>0</v>
      </c>
    </row>
    <row r="180" spans="1:11" ht="16" x14ac:dyDescent="0.2">
      <c r="A180" s="34" t="s">
        <v>1</v>
      </c>
      <c r="B180" s="33" t="s">
        <v>2072</v>
      </c>
      <c r="C180" s="33"/>
      <c r="D180" s="33"/>
      <c r="E180" s="33"/>
      <c r="F180" s="33"/>
      <c r="G180" s="33"/>
      <c r="H180" s="33"/>
      <c r="J180" s="28">
        <v>0</v>
      </c>
      <c r="K180" s="19"/>
    </row>
    <row r="181" spans="1:11" ht="16" x14ac:dyDescent="0.2">
      <c r="A181" s="34" t="s">
        <v>2</v>
      </c>
      <c r="B181" s="33" t="s">
        <v>2071</v>
      </c>
      <c r="C181" s="33"/>
      <c r="D181" s="33"/>
      <c r="E181" s="33"/>
      <c r="F181" s="33"/>
      <c r="G181" s="33"/>
      <c r="H181" s="33"/>
      <c r="J181" s="28">
        <f>IF(ISNUMBER(SEARCH("x",I181)),1,0)</f>
        <v>0</v>
      </c>
      <c r="K181" s="19"/>
    </row>
    <row r="182" spans="1:11" ht="16" x14ac:dyDescent="0.2">
      <c r="A182" s="34" t="s">
        <v>3</v>
      </c>
      <c r="B182" s="33" t="s">
        <v>204</v>
      </c>
      <c r="C182" s="33"/>
      <c r="D182" s="33"/>
      <c r="E182" s="33"/>
      <c r="F182" s="33"/>
      <c r="G182" s="33"/>
      <c r="H182" s="33"/>
      <c r="J182" s="28">
        <v>0</v>
      </c>
      <c r="K182" s="19"/>
    </row>
    <row r="183" spans="1:11" s="27" customFormat="1" x14ac:dyDescent="0.2"/>
    <row r="184" spans="1:11" x14ac:dyDescent="0.2">
      <c r="A184" s="37" t="s">
        <v>2070</v>
      </c>
      <c r="B184" s="37"/>
      <c r="C184" s="37"/>
      <c r="D184" s="37"/>
      <c r="E184" s="37"/>
      <c r="F184" s="37"/>
      <c r="G184" s="37"/>
      <c r="H184" s="37"/>
      <c r="I184" s="36" t="s">
        <v>1858</v>
      </c>
    </row>
    <row r="185" spans="1:11" x14ac:dyDescent="0.2">
      <c r="A185" s="35" t="s">
        <v>2011</v>
      </c>
      <c r="B185" s="35"/>
      <c r="C185" s="35"/>
      <c r="D185" s="35"/>
      <c r="E185" s="35"/>
      <c r="F185" s="35"/>
      <c r="G185" s="35"/>
      <c r="H185" s="35"/>
      <c r="I185" s="35"/>
    </row>
    <row r="186" spans="1:11" x14ac:dyDescent="0.2">
      <c r="A186" s="35"/>
      <c r="B186" s="35"/>
      <c r="C186" s="35"/>
      <c r="D186" s="35"/>
      <c r="E186" s="35"/>
      <c r="F186" s="35"/>
      <c r="G186" s="35"/>
      <c r="H186" s="35"/>
      <c r="I186" s="35"/>
    </row>
    <row r="187" spans="1:11" x14ac:dyDescent="0.2">
      <c r="A187" s="35"/>
      <c r="B187" s="35"/>
      <c r="C187" s="35"/>
      <c r="D187" s="35"/>
      <c r="E187" s="35"/>
      <c r="F187" s="35"/>
      <c r="G187" s="35"/>
      <c r="H187" s="35"/>
      <c r="I187" s="35"/>
    </row>
    <row r="188" spans="1:11" x14ac:dyDescent="0.2">
      <c r="A188" s="35"/>
      <c r="B188" s="35"/>
      <c r="C188" s="35"/>
      <c r="D188" s="35"/>
      <c r="E188" s="35"/>
      <c r="F188" s="35"/>
      <c r="G188" s="35"/>
      <c r="H188" s="35"/>
      <c r="I188" s="35"/>
    </row>
    <row r="189" spans="1:11" ht="16" x14ac:dyDescent="0.2">
      <c r="A189" s="34" t="s">
        <v>0</v>
      </c>
      <c r="B189" s="33" t="s">
        <v>1217</v>
      </c>
      <c r="C189" s="33"/>
      <c r="D189" s="33"/>
      <c r="E189" s="33"/>
      <c r="F189" s="33"/>
      <c r="G189" s="33"/>
      <c r="H189" s="33"/>
      <c r="J189" s="28">
        <f>IF(ISNUMBER(SEARCH("x",I189)),1,0)</f>
        <v>0</v>
      </c>
      <c r="K189" s="19">
        <f>SUM(J189:J192)</f>
        <v>0</v>
      </c>
    </row>
    <row r="190" spans="1:11" ht="16" x14ac:dyDescent="0.2">
      <c r="A190" s="34" t="s">
        <v>1</v>
      </c>
      <c r="B190" s="33" t="s">
        <v>2069</v>
      </c>
      <c r="C190" s="33"/>
      <c r="D190" s="33"/>
      <c r="E190" s="33"/>
      <c r="F190" s="33"/>
      <c r="G190" s="33"/>
      <c r="H190" s="33"/>
      <c r="J190" s="28">
        <v>0</v>
      </c>
      <c r="K190" s="19"/>
    </row>
    <row r="191" spans="1:11" ht="16" x14ac:dyDescent="0.2">
      <c r="A191" s="34" t="s">
        <v>2</v>
      </c>
      <c r="B191" s="33" t="s">
        <v>2068</v>
      </c>
      <c r="C191" s="33"/>
      <c r="D191" s="33"/>
      <c r="E191" s="33"/>
      <c r="F191" s="33"/>
      <c r="G191" s="33"/>
      <c r="H191" s="33"/>
      <c r="J191" s="38">
        <v>0</v>
      </c>
      <c r="K191" s="19"/>
    </row>
    <row r="192" spans="1:11" ht="16" x14ac:dyDescent="0.2">
      <c r="A192" s="34" t="s">
        <v>3</v>
      </c>
      <c r="B192" s="33" t="s">
        <v>1218</v>
      </c>
      <c r="C192" s="33"/>
      <c r="D192" s="33"/>
      <c r="E192" s="33"/>
      <c r="F192" s="33"/>
      <c r="G192" s="33"/>
      <c r="H192" s="33"/>
      <c r="J192" s="38">
        <v>0</v>
      </c>
      <c r="K192" s="19"/>
    </row>
    <row r="193" spans="1:11" s="27" customFormat="1" x14ac:dyDescent="0.2"/>
    <row r="194" spans="1:11" x14ac:dyDescent="0.2">
      <c r="A194" s="37" t="s">
        <v>2067</v>
      </c>
      <c r="B194" s="37"/>
      <c r="C194" s="37"/>
      <c r="D194" s="37"/>
      <c r="E194" s="37"/>
      <c r="F194" s="37"/>
      <c r="G194" s="37"/>
      <c r="H194" s="37"/>
      <c r="I194" s="36" t="s">
        <v>1858</v>
      </c>
    </row>
    <row r="195" spans="1:11" x14ac:dyDescent="0.2">
      <c r="A195" s="35" t="s">
        <v>2066</v>
      </c>
      <c r="B195" s="35"/>
      <c r="C195" s="35"/>
      <c r="D195" s="35"/>
      <c r="E195" s="35"/>
      <c r="F195" s="35"/>
      <c r="G195" s="35"/>
      <c r="H195" s="35"/>
      <c r="I195" s="35"/>
    </row>
    <row r="196" spans="1:11" x14ac:dyDescent="0.2">
      <c r="A196" s="35"/>
      <c r="B196" s="35"/>
      <c r="C196" s="35"/>
      <c r="D196" s="35"/>
      <c r="E196" s="35"/>
      <c r="F196" s="35"/>
      <c r="G196" s="35"/>
      <c r="H196" s="35"/>
      <c r="I196" s="35"/>
    </row>
    <row r="197" spans="1:11" x14ac:dyDescent="0.2">
      <c r="A197" s="35"/>
      <c r="B197" s="35"/>
      <c r="C197" s="35"/>
      <c r="D197" s="35"/>
      <c r="E197" s="35"/>
      <c r="F197" s="35"/>
      <c r="G197" s="35"/>
      <c r="H197" s="35"/>
      <c r="I197" s="35"/>
    </row>
    <row r="198" spans="1:11" x14ac:dyDescent="0.2">
      <c r="A198" s="35"/>
      <c r="B198" s="35"/>
      <c r="C198" s="35"/>
      <c r="D198" s="35"/>
      <c r="E198" s="35"/>
      <c r="F198" s="35"/>
      <c r="G198" s="35"/>
      <c r="H198" s="35"/>
      <c r="I198" s="35"/>
    </row>
    <row r="199" spans="1:11" ht="16" x14ac:dyDescent="0.2">
      <c r="A199" s="34" t="s">
        <v>0</v>
      </c>
      <c r="B199" s="33" t="s">
        <v>2065</v>
      </c>
      <c r="C199" s="33"/>
      <c r="D199" s="33"/>
      <c r="E199" s="33"/>
      <c r="F199" s="33"/>
      <c r="G199" s="33"/>
      <c r="H199" s="33"/>
      <c r="J199" s="28">
        <v>0</v>
      </c>
      <c r="K199" s="19">
        <f>SUM(J199:J202)</f>
        <v>0</v>
      </c>
    </row>
    <row r="200" spans="1:11" ht="16" x14ac:dyDescent="0.2">
      <c r="A200" s="34" t="s">
        <v>1</v>
      </c>
      <c r="B200" s="33" t="s">
        <v>2064</v>
      </c>
      <c r="C200" s="33"/>
      <c r="D200" s="33"/>
      <c r="E200" s="33"/>
      <c r="F200" s="33"/>
      <c r="G200" s="33"/>
      <c r="H200" s="33"/>
      <c r="J200" s="28">
        <v>0</v>
      </c>
      <c r="K200" s="19"/>
    </row>
    <row r="201" spans="1:11" ht="16" x14ac:dyDescent="0.2">
      <c r="A201" s="34" t="s">
        <v>2</v>
      </c>
      <c r="B201" s="33" t="s">
        <v>2063</v>
      </c>
      <c r="C201" s="33"/>
      <c r="D201" s="33"/>
      <c r="E201" s="33"/>
      <c r="F201" s="33"/>
      <c r="G201" s="33"/>
      <c r="H201" s="33"/>
      <c r="J201" s="28">
        <v>0</v>
      </c>
      <c r="K201" s="19"/>
    </row>
    <row r="202" spans="1:11" ht="16" x14ac:dyDescent="0.2">
      <c r="A202" s="34" t="s">
        <v>3</v>
      </c>
      <c r="B202" s="33" t="s">
        <v>2062</v>
      </c>
      <c r="C202" s="33"/>
      <c r="D202" s="33"/>
      <c r="E202" s="33"/>
      <c r="F202" s="33"/>
      <c r="G202" s="33"/>
      <c r="H202" s="33"/>
      <c r="J202" s="28">
        <f>IF(ISNUMBER(SEARCH("x",I202)),1,0)</f>
        <v>0</v>
      </c>
      <c r="K202" s="19"/>
    </row>
    <row r="203" spans="1:11" s="27" customFormat="1" x14ac:dyDescent="0.2"/>
    <row r="204" spans="1:11" x14ac:dyDescent="0.2">
      <c r="A204" s="37" t="s">
        <v>2061</v>
      </c>
      <c r="B204" s="37"/>
      <c r="C204" s="37"/>
      <c r="D204" s="37"/>
      <c r="E204" s="37"/>
      <c r="F204" s="37"/>
      <c r="G204" s="37"/>
      <c r="H204" s="37"/>
      <c r="I204" s="36" t="s">
        <v>1858</v>
      </c>
    </row>
    <row r="205" spans="1:11" x14ac:dyDescent="0.2">
      <c r="A205" s="35" t="s">
        <v>2060</v>
      </c>
      <c r="B205" s="35"/>
      <c r="C205" s="35"/>
      <c r="D205" s="35"/>
      <c r="E205" s="35"/>
      <c r="F205" s="35"/>
      <c r="G205" s="35"/>
      <c r="H205" s="35"/>
      <c r="I205" s="35"/>
    </row>
    <row r="206" spans="1:11" x14ac:dyDescent="0.2">
      <c r="A206" s="35"/>
      <c r="B206" s="35"/>
      <c r="C206" s="35"/>
      <c r="D206" s="35"/>
      <c r="E206" s="35"/>
      <c r="F206" s="35"/>
      <c r="G206" s="35"/>
      <c r="H206" s="35"/>
      <c r="I206" s="35"/>
    </row>
    <row r="207" spans="1:11" x14ac:dyDescent="0.2">
      <c r="A207" s="35"/>
      <c r="B207" s="35"/>
      <c r="C207" s="35"/>
      <c r="D207" s="35"/>
      <c r="E207" s="35"/>
      <c r="F207" s="35"/>
      <c r="G207" s="35"/>
      <c r="H207" s="35"/>
      <c r="I207" s="35"/>
    </row>
    <row r="208" spans="1:11" x14ac:dyDescent="0.2">
      <c r="A208" s="35"/>
      <c r="B208" s="35"/>
      <c r="C208" s="35"/>
      <c r="D208" s="35"/>
      <c r="E208" s="35"/>
      <c r="F208" s="35"/>
      <c r="G208" s="35"/>
      <c r="H208" s="35"/>
      <c r="I208" s="35"/>
    </row>
    <row r="209" spans="1:11" ht="16" x14ac:dyDescent="0.2">
      <c r="A209" s="34" t="s">
        <v>0</v>
      </c>
      <c r="B209" s="33" t="s">
        <v>1218</v>
      </c>
      <c r="C209" s="33"/>
      <c r="D209" s="33"/>
      <c r="E209" s="33"/>
      <c r="F209" s="33"/>
      <c r="G209" s="33"/>
      <c r="H209" s="33"/>
      <c r="J209" s="28">
        <v>0</v>
      </c>
      <c r="K209" s="19">
        <f>SUM(J209:J212)</f>
        <v>0</v>
      </c>
    </row>
    <row r="210" spans="1:11" ht="16" x14ac:dyDescent="0.2">
      <c r="A210" s="34" t="s">
        <v>1</v>
      </c>
      <c r="B210" s="33" t="s">
        <v>1093</v>
      </c>
      <c r="C210" s="33"/>
      <c r="D210" s="33"/>
      <c r="E210" s="33"/>
      <c r="F210" s="33"/>
      <c r="G210" s="33"/>
      <c r="H210" s="33"/>
      <c r="J210" s="28">
        <f>IF(ISNUMBER(SEARCH("x",I210)),1,0)</f>
        <v>0</v>
      </c>
      <c r="K210" s="19"/>
    </row>
    <row r="211" spans="1:11" ht="16" x14ac:dyDescent="0.2">
      <c r="A211" s="34" t="s">
        <v>2</v>
      </c>
      <c r="B211" s="33" t="s">
        <v>1750</v>
      </c>
      <c r="C211" s="33"/>
      <c r="D211" s="33"/>
      <c r="E211" s="33"/>
      <c r="F211" s="33"/>
      <c r="G211" s="33"/>
      <c r="H211" s="33"/>
      <c r="J211" s="38">
        <v>0</v>
      </c>
      <c r="K211" s="19"/>
    </row>
    <row r="212" spans="1:11" ht="16" x14ac:dyDescent="0.2">
      <c r="A212" s="34" t="s">
        <v>3</v>
      </c>
      <c r="B212" s="33" t="s">
        <v>2059</v>
      </c>
      <c r="C212" s="33"/>
      <c r="D212" s="33"/>
      <c r="E212" s="33"/>
      <c r="F212" s="33"/>
      <c r="G212" s="33"/>
      <c r="H212" s="33"/>
      <c r="J212" s="28">
        <v>0</v>
      </c>
      <c r="K212" s="19"/>
    </row>
    <row r="213" spans="1:11" s="27" customFormat="1" x14ac:dyDescent="0.2"/>
    <row r="214" spans="1:11" x14ac:dyDescent="0.2">
      <c r="A214" s="37" t="s">
        <v>2058</v>
      </c>
      <c r="B214" s="37"/>
      <c r="C214" s="37"/>
      <c r="D214" s="37"/>
      <c r="E214" s="37"/>
      <c r="F214" s="37"/>
      <c r="G214" s="37"/>
      <c r="H214" s="37"/>
      <c r="I214" s="36" t="s">
        <v>1858</v>
      </c>
    </row>
    <row r="215" spans="1:11" x14ac:dyDescent="0.2">
      <c r="A215" s="35" t="s">
        <v>2057</v>
      </c>
      <c r="B215" s="35"/>
      <c r="C215" s="35"/>
      <c r="D215" s="35"/>
      <c r="E215" s="35"/>
      <c r="F215" s="35"/>
      <c r="G215" s="35"/>
      <c r="H215" s="35"/>
      <c r="I215" s="35"/>
    </row>
    <row r="216" spans="1:11" x14ac:dyDescent="0.2">
      <c r="A216" s="35"/>
      <c r="B216" s="35"/>
      <c r="C216" s="35"/>
      <c r="D216" s="35"/>
      <c r="E216" s="35"/>
      <c r="F216" s="35"/>
      <c r="G216" s="35"/>
      <c r="H216" s="35"/>
      <c r="I216" s="35"/>
    </row>
    <row r="217" spans="1:11" x14ac:dyDescent="0.2">
      <c r="A217" s="35"/>
      <c r="B217" s="35"/>
      <c r="C217" s="35"/>
      <c r="D217" s="35"/>
      <c r="E217" s="35"/>
      <c r="F217" s="35"/>
      <c r="G217" s="35"/>
      <c r="H217" s="35"/>
      <c r="I217" s="35"/>
    </row>
    <row r="218" spans="1:11" x14ac:dyDescent="0.2">
      <c r="A218" s="35"/>
      <c r="B218" s="35"/>
      <c r="C218" s="35"/>
      <c r="D218" s="35"/>
      <c r="E218" s="35"/>
      <c r="F218" s="35"/>
      <c r="G218" s="35"/>
      <c r="H218" s="35"/>
      <c r="I218" s="35"/>
    </row>
    <row r="219" spans="1:11" ht="16" x14ac:dyDescent="0.2">
      <c r="A219" s="34" t="s">
        <v>0</v>
      </c>
      <c r="B219" s="33" t="s">
        <v>2056</v>
      </c>
      <c r="C219" s="33"/>
      <c r="D219" s="33"/>
      <c r="E219" s="33"/>
      <c r="F219" s="33"/>
      <c r="G219" s="33"/>
      <c r="H219" s="33"/>
      <c r="J219" s="28">
        <f>IF(ISNUMBER(SEARCH("x",I219)),-0.5,0)</f>
        <v>0</v>
      </c>
      <c r="K219" s="19">
        <f>MAX(SUM(J219:J223),0)</f>
        <v>0</v>
      </c>
    </row>
    <row r="220" spans="1:11" ht="16" x14ac:dyDescent="0.2">
      <c r="A220" s="34" t="s">
        <v>1</v>
      </c>
      <c r="B220" s="33" t="s">
        <v>4</v>
      </c>
      <c r="C220" s="33"/>
      <c r="D220" s="33"/>
      <c r="E220" s="33"/>
      <c r="F220" s="33"/>
      <c r="G220" s="33"/>
      <c r="H220" s="33"/>
      <c r="J220" s="28">
        <f>IF(ISNUMBER(SEARCH("x",I220)),-0.5,0)</f>
        <v>0</v>
      </c>
      <c r="K220" s="19"/>
    </row>
    <row r="221" spans="1:11" ht="16" x14ac:dyDescent="0.2">
      <c r="A221" s="34" t="s">
        <v>2</v>
      </c>
      <c r="B221" s="33" t="s">
        <v>760</v>
      </c>
      <c r="C221" s="33"/>
      <c r="D221" s="33"/>
      <c r="E221" s="33"/>
      <c r="F221" s="33"/>
      <c r="G221" s="33"/>
      <c r="H221" s="33"/>
      <c r="J221" s="28">
        <f>IF(ISNUMBER(SEARCH("x",I221)),0.5,0)</f>
        <v>0</v>
      </c>
      <c r="K221" s="19"/>
    </row>
    <row r="222" spans="1:11" ht="16" x14ac:dyDescent="0.2">
      <c r="A222" s="34" t="s">
        <v>3</v>
      </c>
      <c r="B222" s="33" t="s">
        <v>808</v>
      </c>
      <c r="C222" s="33"/>
      <c r="D222" s="33"/>
      <c r="E222" s="33"/>
      <c r="F222" s="33"/>
      <c r="G222" s="33"/>
      <c r="H222" s="33"/>
      <c r="J222" s="28">
        <f>IF(ISNUMBER(SEARCH("x",I222)),-0.5,0)</f>
        <v>0</v>
      </c>
      <c r="K222" s="19"/>
    </row>
    <row r="223" spans="1:11" ht="16" x14ac:dyDescent="0.2">
      <c r="A223" s="34" t="s">
        <v>6</v>
      </c>
      <c r="B223" s="33" t="s">
        <v>1388</v>
      </c>
      <c r="C223" s="33"/>
      <c r="D223" s="33"/>
      <c r="E223" s="33"/>
      <c r="F223" s="33"/>
      <c r="G223" s="33"/>
      <c r="H223" s="33"/>
      <c r="J223" s="28">
        <f>IF(ISNUMBER(SEARCH("x",I223)),0.5,0)</f>
        <v>0</v>
      </c>
      <c r="K223" s="19"/>
    </row>
    <row r="224" spans="1:11" s="27" customFormat="1" x14ac:dyDescent="0.2"/>
    <row r="225" spans="1:11" x14ac:dyDescent="0.2">
      <c r="A225" s="37" t="s">
        <v>2055</v>
      </c>
      <c r="B225" s="37"/>
      <c r="C225" s="37"/>
      <c r="D225" s="37"/>
      <c r="E225" s="37"/>
      <c r="F225" s="37"/>
      <c r="G225" s="37"/>
      <c r="H225" s="37"/>
      <c r="I225" s="36" t="s">
        <v>1858</v>
      </c>
    </row>
    <row r="226" spans="1:11" x14ac:dyDescent="0.2">
      <c r="A226" s="35" t="s">
        <v>2054</v>
      </c>
      <c r="B226" s="35"/>
      <c r="C226" s="35"/>
      <c r="D226" s="35"/>
      <c r="E226" s="35"/>
      <c r="F226" s="35"/>
      <c r="G226" s="35"/>
      <c r="H226" s="35"/>
      <c r="I226" s="35"/>
    </row>
    <row r="227" spans="1:11" x14ac:dyDescent="0.2">
      <c r="A227" s="35"/>
      <c r="B227" s="35"/>
      <c r="C227" s="35"/>
      <c r="D227" s="35"/>
      <c r="E227" s="35"/>
      <c r="F227" s="35"/>
      <c r="G227" s="35"/>
      <c r="H227" s="35"/>
      <c r="I227" s="35"/>
    </row>
    <row r="228" spans="1:11" x14ac:dyDescent="0.2">
      <c r="A228" s="35"/>
      <c r="B228" s="35"/>
      <c r="C228" s="35"/>
      <c r="D228" s="35"/>
      <c r="E228" s="35"/>
      <c r="F228" s="35"/>
      <c r="G228" s="35"/>
      <c r="H228" s="35"/>
      <c r="I228" s="35"/>
    </row>
    <row r="229" spans="1:11" x14ac:dyDescent="0.2">
      <c r="A229" s="35"/>
      <c r="B229" s="35"/>
      <c r="C229" s="35"/>
      <c r="D229" s="35"/>
      <c r="E229" s="35"/>
      <c r="F229" s="35"/>
      <c r="G229" s="35"/>
      <c r="H229" s="35"/>
      <c r="I229" s="35"/>
    </row>
    <row r="230" spans="1:11" ht="16" x14ac:dyDescent="0.2">
      <c r="A230" s="34" t="s">
        <v>0</v>
      </c>
      <c r="B230" s="33" t="s">
        <v>2053</v>
      </c>
      <c r="C230" s="33"/>
      <c r="D230" s="33"/>
      <c r="E230" s="33"/>
      <c r="F230" s="33"/>
      <c r="G230" s="33"/>
      <c r="H230" s="33"/>
      <c r="J230" s="28">
        <f>IF(ISNUMBER(SEARCH("x",I230)),0.5,0)</f>
        <v>0</v>
      </c>
      <c r="K230" s="19">
        <f>MAX(SUM(J230:J234),0)</f>
        <v>0</v>
      </c>
    </row>
    <row r="231" spans="1:11" ht="16" x14ac:dyDescent="0.2">
      <c r="A231" s="34" t="s">
        <v>1</v>
      </c>
      <c r="B231" s="33" t="s">
        <v>2052</v>
      </c>
      <c r="C231" s="33"/>
      <c r="D231" s="33"/>
      <c r="E231" s="33"/>
      <c r="F231" s="33"/>
      <c r="G231" s="33"/>
      <c r="H231" s="33"/>
      <c r="J231" s="28">
        <f>IF(ISNUMBER(SEARCH("x",I231)),0.5,0)</f>
        <v>0</v>
      </c>
      <c r="K231" s="19"/>
    </row>
    <row r="232" spans="1:11" ht="16" x14ac:dyDescent="0.2">
      <c r="A232" s="34" t="s">
        <v>2</v>
      </c>
      <c r="B232" s="33" t="s">
        <v>2051</v>
      </c>
      <c r="C232" s="33"/>
      <c r="D232" s="33"/>
      <c r="E232" s="33"/>
      <c r="F232" s="33"/>
      <c r="G232" s="33"/>
      <c r="H232" s="33"/>
      <c r="J232" s="28">
        <f>IF(ISNUMBER(SEARCH("x",I232)),-0.5,0)</f>
        <v>0</v>
      </c>
      <c r="K232" s="19"/>
    </row>
    <row r="233" spans="1:11" ht="16" x14ac:dyDescent="0.2">
      <c r="A233" s="34" t="s">
        <v>3</v>
      </c>
      <c r="B233" s="33" t="s">
        <v>2050</v>
      </c>
      <c r="C233" s="33"/>
      <c r="D233" s="33"/>
      <c r="E233" s="33"/>
      <c r="F233" s="33"/>
      <c r="G233" s="33"/>
      <c r="H233" s="33"/>
      <c r="J233" s="28">
        <f>IF(ISNUMBER(SEARCH("x",I233)),-0.5,0)</f>
        <v>0</v>
      </c>
      <c r="K233" s="19"/>
    </row>
    <row r="234" spans="1:11" ht="16" x14ac:dyDescent="0.2">
      <c r="A234" s="34" t="s">
        <v>6</v>
      </c>
      <c r="B234" s="33" t="s">
        <v>2049</v>
      </c>
      <c r="C234" s="33"/>
      <c r="D234" s="33"/>
      <c r="E234" s="33"/>
      <c r="F234" s="33"/>
      <c r="G234" s="33"/>
      <c r="H234" s="33"/>
      <c r="J234" s="28">
        <f>IF(ISNUMBER(SEARCH("x",I234)),-0.5,0)</f>
        <v>0</v>
      </c>
      <c r="K234" s="19"/>
    </row>
    <row r="235" spans="1:11" s="27" customFormat="1" x14ac:dyDescent="0.2"/>
    <row r="236" spans="1:11" x14ac:dyDescent="0.2">
      <c r="A236" s="37" t="s">
        <v>2048</v>
      </c>
      <c r="B236" s="37"/>
      <c r="C236" s="37"/>
      <c r="D236" s="37"/>
      <c r="E236" s="37"/>
      <c r="F236" s="37"/>
      <c r="G236" s="37"/>
      <c r="H236" s="37"/>
      <c r="I236" s="36" t="s">
        <v>1858</v>
      </c>
    </row>
    <row r="237" spans="1:11" x14ac:dyDescent="0.2">
      <c r="A237" s="35" t="s">
        <v>2047</v>
      </c>
      <c r="B237" s="35"/>
      <c r="C237" s="35"/>
      <c r="D237" s="35"/>
      <c r="E237" s="35"/>
      <c r="F237" s="35"/>
      <c r="G237" s="35"/>
      <c r="H237" s="35"/>
      <c r="I237" s="35"/>
    </row>
    <row r="238" spans="1:11" x14ac:dyDescent="0.2">
      <c r="A238" s="35"/>
      <c r="B238" s="35"/>
      <c r="C238" s="35"/>
      <c r="D238" s="35"/>
      <c r="E238" s="35"/>
      <c r="F238" s="35"/>
      <c r="G238" s="35"/>
      <c r="H238" s="35"/>
      <c r="I238" s="35"/>
    </row>
    <row r="239" spans="1:11" x14ac:dyDescent="0.2">
      <c r="A239" s="35"/>
      <c r="B239" s="35"/>
      <c r="C239" s="35"/>
      <c r="D239" s="35"/>
      <c r="E239" s="35"/>
      <c r="F239" s="35"/>
      <c r="G239" s="35"/>
      <c r="H239" s="35"/>
      <c r="I239" s="35"/>
    </row>
    <row r="240" spans="1:11" x14ac:dyDescent="0.2">
      <c r="A240" s="35"/>
      <c r="B240" s="35"/>
      <c r="C240" s="35"/>
      <c r="D240" s="35"/>
      <c r="E240" s="35"/>
      <c r="F240" s="35"/>
      <c r="G240" s="35"/>
      <c r="H240" s="35"/>
      <c r="I240" s="35"/>
    </row>
    <row r="241" spans="1:11" ht="16" x14ac:dyDescent="0.2">
      <c r="A241" s="34" t="s">
        <v>0</v>
      </c>
      <c r="B241" s="33" t="s">
        <v>2046</v>
      </c>
      <c r="C241" s="33"/>
      <c r="D241" s="33"/>
      <c r="E241" s="33"/>
      <c r="F241" s="33"/>
      <c r="G241" s="33"/>
      <c r="H241" s="33"/>
      <c r="J241" s="28">
        <v>0</v>
      </c>
      <c r="K241" s="19">
        <f>SUM(J241:J244)</f>
        <v>0</v>
      </c>
    </row>
    <row r="242" spans="1:11" ht="16" x14ac:dyDescent="0.2">
      <c r="A242" s="34" t="s">
        <v>1</v>
      </c>
      <c r="B242" s="33" t="s">
        <v>2045</v>
      </c>
      <c r="C242" s="33"/>
      <c r="D242" s="33"/>
      <c r="E242" s="33"/>
      <c r="F242" s="33"/>
      <c r="G242" s="33"/>
      <c r="H242" s="33"/>
      <c r="J242" s="28">
        <v>0</v>
      </c>
      <c r="K242" s="19"/>
    </row>
    <row r="243" spans="1:11" ht="16" x14ac:dyDescent="0.2">
      <c r="A243" s="34" t="s">
        <v>2</v>
      </c>
      <c r="B243" s="33" t="s">
        <v>2044</v>
      </c>
      <c r="C243" s="33"/>
      <c r="D243" s="33"/>
      <c r="E243" s="33"/>
      <c r="F243" s="33"/>
      <c r="G243" s="33"/>
      <c r="H243" s="33"/>
      <c r="J243" s="28">
        <f>IF(ISNUMBER(SEARCH("x",I243)),1,0)</f>
        <v>0</v>
      </c>
      <c r="K243" s="19"/>
    </row>
    <row r="244" spans="1:11" ht="16" x14ac:dyDescent="0.2">
      <c r="A244" s="34" t="s">
        <v>3</v>
      </c>
      <c r="B244" s="33" t="s">
        <v>2043</v>
      </c>
      <c r="C244" s="33"/>
      <c r="D244" s="33"/>
      <c r="E244" s="33"/>
      <c r="F244" s="33"/>
      <c r="G244" s="33"/>
      <c r="H244" s="33"/>
      <c r="J244" s="28">
        <v>0</v>
      </c>
      <c r="K244" s="19"/>
    </row>
    <row r="245" spans="1:11" s="27" customFormat="1" x14ac:dyDescent="0.2"/>
    <row r="246" spans="1:11" x14ac:dyDescent="0.2">
      <c r="A246" s="37" t="s">
        <v>2042</v>
      </c>
      <c r="B246" s="37"/>
      <c r="C246" s="37"/>
      <c r="D246" s="37"/>
      <c r="E246" s="37"/>
      <c r="F246" s="37"/>
      <c r="G246" s="37"/>
      <c r="H246" s="37"/>
      <c r="I246" s="36" t="s">
        <v>1858</v>
      </c>
    </row>
    <row r="247" spans="1:11" x14ac:dyDescent="0.2">
      <c r="A247" s="35" t="s">
        <v>2041</v>
      </c>
      <c r="B247" s="35"/>
      <c r="C247" s="35"/>
      <c r="D247" s="35"/>
      <c r="E247" s="35"/>
      <c r="F247" s="35"/>
      <c r="G247" s="35"/>
      <c r="H247" s="35"/>
      <c r="I247" s="35"/>
    </row>
    <row r="248" spans="1:11" x14ac:dyDescent="0.2">
      <c r="A248" s="35"/>
      <c r="B248" s="35"/>
      <c r="C248" s="35"/>
      <c r="D248" s="35"/>
      <c r="E248" s="35"/>
      <c r="F248" s="35"/>
      <c r="G248" s="35"/>
      <c r="H248" s="35"/>
      <c r="I248" s="35"/>
    </row>
    <row r="249" spans="1:11" x14ac:dyDescent="0.2">
      <c r="A249" s="35"/>
      <c r="B249" s="35"/>
      <c r="C249" s="35"/>
      <c r="D249" s="35"/>
      <c r="E249" s="35"/>
      <c r="F249" s="35"/>
      <c r="G249" s="35"/>
      <c r="H249" s="35"/>
      <c r="I249" s="35"/>
    </row>
    <row r="250" spans="1:11" x14ac:dyDescent="0.2">
      <c r="A250" s="35"/>
      <c r="B250" s="35"/>
      <c r="C250" s="35"/>
      <c r="D250" s="35"/>
      <c r="E250" s="35"/>
      <c r="F250" s="35"/>
      <c r="G250" s="35"/>
      <c r="H250" s="35"/>
      <c r="I250" s="35"/>
    </row>
    <row r="251" spans="1:11" ht="16" x14ac:dyDescent="0.2">
      <c r="A251" s="34" t="s">
        <v>0</v>
      </c>
      <c r="B251" s="33" t="s">
        <v>1339</v>
      </c>
      <c r="C251" s="33"/>
      <c r="D251" s="33"/>
      <c r="E251" s="33"/>
      <c r="F251" s="33"/>
      <c r="G251" s="33"/>
      <c r="H251" s="33"/>
      <c r="J251" s="28">
        <v>0</v>
      </c>
      <c r="K251" s="19">
        <f>SUM(J251:J254)</f>
        <v>0</v>
      </c>
    </row>
    <row r="252" spans="1:11" ht="16" x14ac:dyDescent="0.2">
      <c r="A252" s="34" t="s">
        <v>1</v>
      </c>
      <c r="B252" s="33" t="s">
        <v>1426</v>
      </c>
      <c r="C252" s="33"/>
      <c r="D252" s="33"/>
      <c r="E252" s="33"/>
      <c r="F252" s="33"/>
      <c r="G252" s="33"/>
      <c r="H252" s="33"/>
      <c r="J252" s="28">
        <f>IF(ISNUMBER(SEARCH("x",I252)),1,0)</f>
        <v>0</v>
      </c>
      <c r="K252" s="19"/>
    </row>
    <row r="253" spans="1:11" ht="16" x14ac:dyDescent="0.2">
      <c r="A253" s="34" t="s">
        <v>2</v>
      </c>
      <c r="B253" s="33" t="s">
        <v>1427</v>
      </c>
      <c r="C253" s="33"/>
      <c r="D253" s="33"/>
      <c r="E253" s="33"/>
      <c r="F253" s="33"/>
      <c r="G253" s="33"/>
      <c r="H253" s="33"/>
      <c r="J253" s="38">
        <v>0</v>
      </c>
      <c r="K253" s="19"/>
    </row>
    <row r="254" spans="1:11" ht="16" x14ac:dyDescent="0.2">
      <c r="A254" s="34" t="s">
        <v>3</v>
      </c>
      <c r="B254" s="33" t="s">
        <v>1340</v>
      </c>
      <c r="C254" s="33"/>
      <c r="D254" s="33"/>
      <c r="E254" s="33"/>
      <c r="F254" s="33"/>
      <c r="G254" s="33"/>
      <c r="H254" s="33"/>
      <c r="J254" s="28">
        <v>0</v>
      </c>
      <c r="K254" s="19"/>
    </row>
    <row r="255" spans="1:11" s="27" customFormat="1" x14ac:dyDescent="0.2"/>
    <row r="256" spans="1:11" x14ac:dyDescent="0.2">
      <c r="A256" s="37" t="s">
        <v>2040</v>
      </c>
      <c r="B256" s="37"/>
      <c r="C256" s="37"/>
      <c r="D256" s="37"/>
      <c r="E256" s="37"/>
      <c r="F256" s="37"/>
      <c r="G256" s="37"/>
      <c r="H256" s="37"/>
      <c r="I256" s="36" t="s">
        <v>1858</v>
      </c>
    </row>
    <row r="257" spans="1:11" x14ac:dyDescent="0.2">
      <c r="A257" s="35" t="s">
        <v>2039</v>
      </c>
      <c r="B257" s="35"/>
      <c r="C257" s="35"/>
      <c r="D257" s="35"/>
      <c r="E257" s="35"/>
      <c r="F257" s="35"/>
      <c r="G257" s="35"/>
      <c r="H257" s="35"/>
      <c r="I257" s="35"/>
    </row>
    <row r="258" spans="1:11" x14ac:dyDescent="0.2">
      <c r="A258" s="35"/>
      <c r="B258" s="35"/>
      <c r="C258" s="35"/>
      <c r="D258" s="35"/>
      <c r="E258" s="35"/>
      <c r="F258" s="35"/>
      <c r="G258" s="35"/>
      <c r="H258" s="35"/>
      <c r="I258" s="35"/>
    </row>
    <row r="259" spans="1:11" x14ac:dyDescent="0.2">
      <c r="A259" s="35"/>
      <c r="B259" s="35"/>
      <c r="C259" s="35"/>
      <c r="D259" s="35"/>
      <c r="E259" s="35"/>
      <c r="F259" s="35"/>
      <c r="G259" s="35"/>
      <c r="H259" s="35"/>
      <c r="I259" s="35"/>
    </row>
    <row r="260" spans="1:11" x14ac:dyDescent="0.2">
      <c r="A260" s="35"/>
      <c r="B260" s="35"/>
      <c r="C260" s="35"/>
      <c r="D260" s="35"/>
      <c r="E260" s="35"/>
      <c r="F260" s="35"/>
      <c r="G260" s="35"/>
      <c r="H260" s="35"/>
      <c r="I260" s="35"/>
    </row>
    <row r="261" spans="1:11" ht="28.75" customHeight="1" x14ac:dyDescent="0.2">
      <c r="A261" s="34" t="s">
        <v>0</v>
      </c>
      <c r="B261" s="33" t="s">
        <v>2038</v>
      </c>
      <c r="C261" s="33"/>
      <c r="D261" s="33"/>
      <c r="E261" s="33"/>
      <c r="F261" s="33"/>
      <c r="G261" s="33"/>
      <c r="H261" s="33"/>
      <c r="J261" s="28">
        <v>0</v>
      </c>
      <c r="K261" s="19">
        <f>SUM(J261:J264)</f>
        <v>0</v>
      </c>
    </row>
    <row r="262" spans="1:11" ht="16" x14ac:dyDescent="0.2">
      <c r="A262" s="34" t="s">
        <v>1</v>
      </c>
      <c r="B262" s="33" t="s">
        <v>2037</v>
      </c>
      <c r="C262" s="33"/>
      <c r="D262" s="33"/>
      <c r="E262" s="33"/>
      <c r="F262" s="33"/>
      <c r="G262" s="33"/>
      <c r="H262" s="33"/>
      <c r="J262" s="28">
        <f>IF(ISNUMBER(SEARCH("x",I262)),1,0)</f>
        <v>0</v>
      </c>
      <c r="K262" s="19"/>
    </row>
    <row r="263" spans="1:11" ht="16" x14ac:dyDescent="0.2">
      <c r="A263" s="34" t="s">
        <v>2</v>
      </c>
      <c r="B263" s="33" t="s">
        <v>2036</v>
      </c>
      <c r="C263" s="33"/>
      <c r="D263" s="33"/>
      <c r="E263" s="33"/>
      <c r="F263" s="33"/>
      <c r="G263" s="33"/>
      <c r="H263" s="33"/>
      <c r="J263" s="38">
        <v>0</v>
      </c>
      <c r="K263" s="19"/>
    </row>
    <row r="264" spans="1:11" ht="16" x14ac:dyDescent="0.2">
      <c r="A264" s="34" t="s">
        <v>3</v>
      </c>
      <c r="B264" s="33" t="s">
        <v>2035</v>
      </c>
      <c r="C264" s="33"/>
      <c r="D264" s="33"/>
      <c r="E264" s="33"/>
      <c r="F264" s="33"/>
      <c r="G264" s="33"/>
      <c r="H264" s="33"/>
      <c r="J264" s="28">
        <v>0</v>
      </c>
      <c r="K264" s="19"/>
    </row>
    <row r="265" spans="1:11" s="27" customFormat="1" x14ac:dyDescent="0.2"/>
    <row r="266" spans="1:11" x14ac:dyDescent="0.2">
      <c r="A266" s="37" t="s">
        <v>2034</v>
      </c>
      <c r="B266" s="37"/>
      <c r="C266" s="37"/>
      <c r="D266" s="37"/>
      <c r="E266" s="37"/>
      <c r="F266" s="37"/>
      <c r="G266" s="37"/>
      <c r="H266" s="37"/>
      <c r="I266" s="36" t="s">
        <v>1858</v>
      </c>
    </row>
    <row r="267" spans="1:11" x14ac:dyDescent="0.2">
      <c r="A267" s="35" t="s">
        <v>2033</v>
      </c>
      <c r="B267" s="35"/>
      <c r="C267" s="35"/>
      <c r="D267" s="35"/>
      <c r="E267" s="35"/>
      <c r="F267" s="35"/>
      <c r="G267" s="35"/>
      <c r="H267" s="35"/>
      <c r="I267" s="35"/>
    </row>
    <row r="268" spans="1:11" x14ac:dyDescent="0.2">
      <c r="A268" s="35"/>
      <c r="B268" s="35"/>
      <c r="C268" s="35"/>
      <c r="D268" s="35"/>
      <c r="E268" s="35"/>
      <c r="F268" s="35"/>
      <c r="G268" s="35"/>
      <c r="H268" s="35"/>
      <c r="I268" s="35"/>
    </row>
    <row r="269" spans="1:11" x14ac:dyDescent="0.2">
      <c r="A269" s="35"/>
      <c r="B269" s="35"/>
      <c r="C269" s="35"/>
      <c r="D269" s="35"/>
      <c r="E269" s="35"/>
      <c r="F269" s="35"/>
      <c r="G269" s="35"/>
      <c r="H269" s="35"/>
      <c r="I269" s="35"/>
    </row>
    <row r="270" spans="1:11" x14ac:dyDescent="0.2">
      <c r="A270" s="35"/>
      <c r="B270" s="35"/>
      <c r="C270" s="35"/>
      <c r="D270" s="35"/>
      <c r="E270" s="35"/>
      <c r="F270" s="35"/>
      <c r="G270" s="35"/>
      <c r="H270" s="35"/>
      <c r="I270" s="35"/>
    </row>
    <row r="271" spans="1:11" ht="16" x14ac:dyDescent="0.2">
      <c r="A271" s="34" t="s">
        <v>0</v>
      </c>
      <c r="B271" s="33" t="s">
        <v>2032</v>
      </c>
      <c r="C271" s="33"/>
      <c r="D271" s="33"/>
      <c r="E271" s="33"/>
      <c r="F271" s="33"/>
      <c r="G271" s="33"/>
      <c r="H271" s="33"/>
      <c r="J271" s="28">
        <f>IF(ISNUMBER(SEARCH("x",I271)),0.5,0)</f>
        <v>0</v>
      </c>
      <c r="K271" s="19">
        <f>MAX(SUM(J271:J275),0)</f>
        <v>0</v>
      </c>
    </row>
    <row r="272" spans="1:11" ht="16" x14ac:dyDescent="0.2">
      <c r="A272" s="34" t="s">
        <v>1</v>
      </c>
      <c r="B272" s="33" t="s">
        <v>2031</v>
      </c>
      <c r="C272" s="33"/>
      <c r="D272" s="33"/>
      <c r="E272" s="33"/>
      <c r="F272" s="33"/>
      <c r="G272" s="33"/>
      <c r="H272" s="33"/>
      <c r="J272" s="28">
        <f>IF(ISNUMBER(SEARCH("x",I272)),-0.5,0)</f>
        <v>0</v>
      </c>
      <c r="K272" s="19"/>
    </row>
    <row r="273" spans="1:11" ht="16" x14ac:dyDescent="0.2">
      <c r="A273" s="34" t="s">
        <v>2</v>
      </c>
      <c r="B273" s="33" t="s">
        <v>2030</v>
      </c>
      <c r="C273" s="33"/>
      <c r="D273" s="33"/>
      <c r="E273" s="33"/>
      <c r="F273" s="33"/>
      <c r="G273" s="33"/>
      <c r="H273" s="33"/>
      <c r="J273" s="28">
        <f>IF(ISNUMBER(SEARCH("x",I273)),-0.5,0)</f>
        <v>0</v>
      </c>
      <c r="K273" s="19"/>
    </row>
    <row r="274" spans="1:11" ht="28.75" customHeight="1" x14ac:dyDescent="0.2">
      <c r="A274" s="34" t="s">
        <v>3</v>
      </c>
      <c r="B274" s="33" t="s">
        <v>2029</v>
      </c>
      <c r="C274" s="33"/>
      <c r="D274" s="33"/>
      <c r="E274" s="33"/>
      <c r="F274" s="33"/>
      <c r="G274" s="33"/>
      <c r="H274" s="33"/>
      <c r="J274" s="28">
        <f>IF(ISNUMBER(SEARCH("x",I274)),-0.5,0)</f>
        <v>0</v>
      </c>
      <c r="K274" s="19"/>
    </row>
    <row r="275" spans="1:11" ht="16" x14ac:dyDescent="0.2">
      <c r="A275" s="34" t="s">
        <v>6</v>
      </c>
      <c r="B275" s="33" t="s">
        <v>2028</v>
      </c>
      <c r="C275" s="33"/>
      <c r="D275" s="33"/>
      <c r="E275" s="33"/>
      <c r="F275" s="33"/>
      <c r="G275" s="33"/>
      <c r="H275" s="33"/>
      <c r="J275" s="28">
        <f>IF(ISNUMBER(SEARCH("x",I275)),0.5,0)</f>
        <v>0</v>
      </c>
      <c r="K275" s="19"/>
    </row>
    <row r="276" spans="1:11" s="27" customFormat="1" x14ac:dyDescent="0.2"/>
    <row r="277" spans="1:11" x14ac:dyDescent="0.2">
      <c r="A277" s="37" t="s">
        <v>2027</v>
      </c>
      <c r="B277" s="37"/>
      <c r="C277" s="37"/>
      <c r="D277" s="37"/>
      <c r="E277" s="37"/>
      <c r="F277" s="37"/>
      <c r="G277" s="37"/>
      <c r="H277" s="37"/>
      <c r="I277" s="36" t="s">
        <v>1858</v>
      </c>
    </row>
    <row r="278" spans="1:11" x14ac:dyDescent="0.2">
      <c r="A278" s="35" t="s">
        <v>2026</v>
      </c>
      <c r="B278" s="35"/>
      <c r="C278" s="35"/>
      <c r="D278" s="35"/>
      <c r="E278" s="35"/>
      <c r="F278" s="35"/>
      <c r="G278" s="35"/>
      <c r="H278" s="35"/>
      <c r="I278" s="35"/>
    </row>
    <row r="279" spans="1:11" x14ac:dyDescent="0.2">
      <c r="A279" s="35"/>
      <c r="B279" s="35"/>
      <c r="C279" s="35"/>
      <c r="D279" s="35"/>
      <c r="E279" s="35"/>
      <c r="F279" s="35"/>
      <c r="G279" s="35"/>
      <c r="H279" s="35"/>
      <c r="I279" s="35"/>
    </row>
    <row r="280" spans="1:11" x14ac:dyDescent="0.2">
      <c r="A280" s="35"/>
      <c r="B280" s="35"/>
      <c r="C280" s="35"/>
      <c r="D280" s="35"/>
      <c r="E280" s="35"/>
      <c r="F280" s="35"/>
      <c r="G280" s="35"/>
      <c r="H280" s="35"/>
      <c r="I280" s="35"/>
    </row>
    <row r="281" spans="1:11" x14ac:dyDescent="0.2">
      <c r="A281" s="35"/>
      <c r="B281" s="35"/>
      <c r="C281" s="35"/>
      <c r="D281" s="35"/>
      <c r="E281" s="35"/>
      <c r="F281" s="35"/>
      <c r="G281" s="35"/>
      <c r="H281" s="35"/>
      <c r="I281" s="35"/>
    </row>
    <row r="282" spans="1:11" ht="16" x14ac:dyDescent="0.2">
      <c r="A282" s="34" t="s">
        <v>0</v>
      </c>
      <c r="B282" s="33" t="s">
        <v>1139</v>
      </c>
      <c r="C282" s="33"/>
      <c r="D282" s="33"/>
      <c r="E282" s="33"/>
      <c r="F282" s="33"/>
      <c r="G282" s="33"/>
      <c r="H282" s="33"/>
      <c r="J282" s="28">
        <v>0</v>
      </c>
      <c r="K282" s="19">
        <f>SUM(J282:J285)</f>
        <v>0</v>
      </c>
    </row>
    <row r="283" spans="1:11" ht="16" x14ac:dyDescent="0.2">
      <c r="A283" s="34" t="s">
        <v>1</v>
      </c>
      <c r="B283" s="33" t="s">
        <v>2025</v>
      </c>
      <c r="C283" s="33"/>
      <c r="D283" s="33"/>
      <c r="E283" s="33"/>
      <c r="F283" s="33"/>
      <c r="G283" s="33"/>
      <c r="H283" s="33"/>
      <c r="J283" s="28">
        <f>IF(ISNUMBER(SEARCH("x",I283)),1,0)</f>
        <v>0</v>
      </c>
      <c r="K283" s="19"/>
    </row>
    <row r="284" spans="1:11" ht="16" x14ac:dyDescent="0.2">
      <c r="A284" s="34" t="s">
        <v>2</v>
      </c>
      <c r="B284" s="33" t="s">
        <v>4</v>
      </c>
      <c r="C284" s="33"/>
      <c r="D284" s="33"/>
      <c r="E284" s="33"/>
      <c r="F284" s="33"/>
      <c r="G284" s="33"/>
      <c r="H284" s="33"/>
      <c r="J284" s="38">
        <v>0</v>
      </c>
      <c r="K284" s="19"/>
    </row>
    <row r="285" spans="1:11" ht="16" x14ac:dyDescent="0.2">
      <c r="A285" s="34" t="s">
        <v>3</v>
      </c>
      <c r="B285" s="33" t="s">
        <v>41</v>
      </c>
      <c r="C285" s="33"/>
      <c r="D285" s="33"/>
      <c r="E285" s="33"/>
      <c r="F285" s="33"/>
      <c r="G285" s="33"/>
      <c r="H285" s="33"/>
      <c r="J285" s="28">
        <v>0</v>
      </c>
      <c r="K285" s="19"/>
    </row>
    <row r="286" spans="1:11" s="27" customFormat="1" x14ac:dyDescent="0.2"/>
    <row r="287" spans="1:11" x14ac:dyDescent="0.2">
      <c r="A287" s="37" t="s">
        <v>2024</v>
      </c>
      <c r="B287" s="37"/>
      <c r="C287" s="37"/>
      <c r="D287" s="37"/>
      <c r="E287" s="37"/>
      <c r="F287" s="37"/>
      <c r="G287" s="37"/>
      <c r="H287" s="37"/>
      <c r="I287" s="36" t="s">
        <v>1858</v>
      </c>
    </row>
    <row r="288" spans="1:11" x14ac:dyDescent="0.2">
      <c r="A288" s="35" t="s">
        <v>2023</v>
      </c>
      <c r="B288" s="35"/>
      <c r="C288" s="35"/>
      <c r="D288" s="35"/>
      <c r="E288" s="35"/>
      <c r="F288" s="35"/>
      <c r="G288" s="35"/>
      <c r="H288" s="35"/>
      <c r="I288" s="35"/>
    </row>
    <row r="289" spans="1:11" x14ac:dyDescent="0.2">
      <c r="A289" s="35"/>
      <c r="B289" s="35"/>
      <c r="C289" s="35"/>
      <c r="D289" s="35"/>
      <c r="E289" s="35"/>
      <c r="F289" s="35"/>
      <c r="G289" s="35"/>
      <c r="H289" s="35"/>
      <c r="I289" s="35"/>
    </row>
    <row r="290" spans="1:11" x14ac:dyDescent="0.2">
      <c r="A290" s="35"/>
      <c r="B290" s="35"/>
      <c r="C290" s="35"/>
      <c r="D290" s="35"/>
      <c r="E290" s="35"/>
      <c r="F290" s="35"/>
      <c r="G290" s="35"/>
      <c r="H290" s="35"/>
      <c r="I290" s="35"/>
    </row>
    <row r="291" spans="1:11" x14ac:dyDescent="0.2">
      <c r="A291" s="35"/>
      <c r="B291" s="35"/>
      <c r="C291" s="35"/>
      <c r="D291" s="35"/>
      <c r="E291" s="35"/>
      <c r="F291" s="35"/>
      <c r="G291" s="35"/>
      <c r="H291" s="35"/>
      <c r="I291" s="35"/>
    </row>
    <row r="292" spans="1:11" ht="28.75" customHeight="1" x14ac:dyDescent="0.2">
      <c r="A292" s="34" t="s">
        <v>0</v>
      </c>
      <c r="B292" s="33" t="s">
        <v>2022</v>
      </c>
      <c r="C292" s="33"/>
      <c r="D292" s="33"/>
      <c r="E292" s="33"/>
      <c r="F292" s="33"/>
      <c r="G292" s="33"/>
      <c r="H292" s="33"/>
      <c r="J292" s="28">
        <v>0</v>
      </c>
      <c r="K292" s="19">
        <f>SUM(J292:J295)</f>
        <v>0</v>
      </c>
    </row>
    <row r="293" spans="1:11" ht="16" x14ac:dyDescent="0.2">
      <c r="A293" s="34" t="s">
        <v>1</v>
      </c>
      <c r="B293" s="33" t="s">
        <v>2021</v>
      </c>
      <c r="C293" s="33"/>
      <c r="D293" s="33"/>
      <c r="E293" s="33"/>
      <c r="F293" s="33"/>
      <c r="G293" s="33"/>
      <c r="H293" s="33"/>
      <c r="J293" s="28">
        <f>IF(ISNUMBER(SEARCH("x",I293)),1,0)</f>
        <v>0</v>
      </c>
      <c r="K293" s="19"/>
    </row>
    <row r="294" spans="1:11" ht="16" x14ac:dyDescent="0.2">
      <c r="A294" s="34" t="s">
        <v>2</v>
      </c>
      <c r="B294" s="33" t="s">
        <v>2020</v>
      </c>
      <c r="C294" s="33"/>
      <c r="D294" s="33"/>
      <c r="E294" s="33"/>
      <c r="F294" s="33"/>
      <c r="G294" s="33"/>
      <c r="H294" s="33"/>
      <c r="J294" s="38">
        <v>0</v>
      </c>
      <c r="K294" s="19"/>
    </row>
    <row r="295" spans="1:11" ht="16" x14ac:dyDescent="0.2">
      <c r="A295" s="34" t="s">
        <v>3</v>
      </c>
      <c r="B295" s="33" t="s">
        <v>2019</v>
      </c>
      <c r="C295" s="33"/>
      <c r="D295" s="33"/>
      <c r="E295" s="33"/>
      <c r="F295" s="33"/>
      <c r="G295" s="33"/>
      <c r="H295" s="33"/>
      <c r="J295" s="28">
        <v>0</v>
      </c>
      <c r="K295" s="19"/>
    </row>
    <row r="296" spans="1:11" s="27" customFormat="1" x14ac:dyDescent="0.2"/>
    <row r="297" spans="1:11" x14ac:dyDescent="0.2">
      <c r="A297" s="37" t="s">
        <v>2018</v>
      </c>
      <c r="B297" s="37"/>
      <c r="C297" s="37"/>
      <c r="D297" s="37"/>
      <c r="E297" s="37"/>
      <c r="F297" s="37"/>
      <c r="G297" s="37"/>
      <c r="H297" s="37"/>
      <c r="I297" s="36" t="s">
        <v>1858</v>
      </c>
    </row>
    <row r="298" spans="1:11" x14ac:dyDescent="0.2">
      <c r="A298" s="35" t="s">
        <v>2017</v>
      </c>
      <c r="B298" s="35"/>
      <c r="C298" s="35"/>
      <c r="D298" s="35"/>
      <c r="E298" s="35"/>
      <c r="F298" s="35"/>
      <c r="G298" s="35"/>
      <c r="H298" s="35"/>
      <c r="I298" s="35"/>
    </row>
    <row r="299" spans="1:11" x14ac:dyDescent="0.2">
      <c r="A299" s="35"/>
      <c r="B299" s="35"/>
      <c r="C299" s="35"/>
      <c r="D299" s="35"/>
      <c r="E299" s="35"/>
      <c r="F299" s="35"/>
      <c r="G299" s="35"/>
      <c r="H299" s="35"/>
      <c r="I299" s="35"/>
    </row>
    <row r="300" spans="1:11" x14ac:dyDescent="0.2">
      <c r="A300" s="35"/>
      <c r="B300" s="35"/>
      <c r="C300" s="35"/>
      <c r="D300" s="35"/>
      <c r="E300" s="35"/>
      <c r="F300" s="35"/>
      <c r="G300" s="35"/>
      <c r="H300" s="35"/>
      <c r="I300" s="35"/>
    </row>
    <row r="301" spans="1:11" x14ac:dyDescent="0.2">
      <c r="A301" s="35"/>
      <c r="B301" s="35"/>
      <c r="C301" s="35"/>
      <c r="D301" s="35"/>
      <c r="E301" s="35"/>
      <c r="F301" s="35"/>
      <c r="G301" s="35"/>
      <c r="H301" s="35"/>
      <c r="I301" s="35"/>
    </row>
    <row r="302" spans="1:11" ht="16" x14ac:dyDescent="0.2">
      <c r="A302" s="34" t="s">
        <v>0</v>
      </c>
      <c r="B302" s="33" t="s">
        <v>1139</v>
      </c>
      <c r="C302" s="33"/>
      <c r="D302" s="33"/>
      <c r="E302" s="33"/>
      <c r="F302" s="33"/>
      <c r="G302" s="33"/>
      <c r="H302" s="33"/>
      <c r="J302" s="28">
        <v>0</v>
      </c>
      <c r="K302" s="19">
        <f>SUM(J302:J305)</f>
        <v>0</v>
      </c>
    </row>
    <row r="303" spans="1:11" ht="16" x14ac:dyDescent="0.2">
      <c r="A303" s="34" t="s">
        <v>1</v>
      </c>
      <c r="B303" s="33" t="s">
        <v>1137</v>
      </c>
      <c r="C303" s="33"/>
      <c r="D303" s="33"/>
      <c r="E303" s="33"/>
      <c r="F303" s="33"/>
      <c r="G303" s="33"/>
      <c r="H303" s="33"/>
      <c r="J303" s="28">
        <f>IF(ISNUMBER(SEARCH("x",I303)),1,0)</f>
        <v>0</v>
      </c>
      <c r="K303" s="19"/>
    </row>
    <row r="304" spans="1:11" ht="16" x14ac:dyDescent="0.2">
      <c r="A304" s="34" t="s">
        <v>2</v>
      </c>
      <c r="B304" s="33" t="s">
        <v>1136</v>
      </c>
      <c r="C304" s="33"/>
      <c r="D304" s="33"/>
      <c r="E304" s="33"/>
      <c r="F304" s="33"/>
      <c r="G304" s="33"/>
      <c r="H304" s="33"/>
      <c r="J304" s="38">
        <v>0</v>
      </c>
      <c r="K304" s="19"/>
    </row>
    <row r="305" spans="1:11" ht="16" x14ac:dyDescent="0.2">
      <c r="A305" s="34" t="s">
        <v>3</v>
      </c>
      <c r="B305" s="33" t="s">
        <v>1898</v>
      </c>
      <c r="C305" s="33"/>
      <c r="D305" s="33"/>
      <c r="E305" s="33"/>
      <c r="F305" s="33"/>
      <c r="G305" s="33"/>
      <c r="H305" s="33"/>
      <c r="J305" s="28">
        <v>0</v>
      </c>
      <c r="K305" s="19"/>
    </row>
    <row r="306" spans="1:11" s="27" customFormat="1" x14ac:dyDescent="0.2"/>
    <row r="307" spans="1:11" x14ac:dyDescent="0.2">
      <c r="A307" s="37" t="s">
        <v>2016</v>
      </c>
      <c r="B307" s="37"/>
      <c r="C307" s="37"/>
      <c r="D307" s="37"/>
      <c r="E307" s="37"/>
      <c r="F307" s="37"/>
      <c r="G307" s="37"/>
      <c r="H307" s="37"/>
      <c r="I307" s="36" t="s">
        <v>1858</v>
      </c>
    </row>
    <row r="308" spans="1:11" x14ac:dyDescent="0.2">
      <c r="A308" s="35" t="s">
        <v>2015</v>
      </c>
      <c r="B308" s="35"/>
      <c r="C308" s="35"/>
      <c r="D308" s="35"/>
      <c r="E308" s="35"/>
      <c r="F308" s="35"/>
      <c r="G308" s="35"/>
      <c r="H308" s="35"/>
      <c r="I308" s="35"/>
    </row>
    <row r="309" spans="1:11" x14ac:dyDescent="0.2">
      <c r="A309" s="35"/>
      <c r="B309" s="35"/>
      <c r="C309" s="35"/>
      <c r="D309" s="35"/>
      <c r="E309" s="35"/>
      <c r="F309" s="35"/>
      <c r="G309" s="35"/>
      <c r="H309" s="35"/>
      <c r="I309" s="35"/>
    </row>
    <row r="310" spans="1:11" x14ac:dyDescent="0.2">
      <c r="A310" s="35"/>
      <c r="B310" s="35"/>
      <c r="C310" s="35"/>
      <c r="D310" s="35"/>
      <c r="E310" s="35"/>
      <c r="F310" s="35"/>
      <c r="G310" s="35"/>
      <c r="H310" s="35"/>
      <c r="I310" s="35"/>
    </row>
    <row r="311" spans="1:11" x14ac:dyDescent="0.2">
      <c r="A311" s="35"/>
      <c r="B311" s="35"/>
      <c r="C311" s="35"/>
      <c r="D311" s="35"/>
      <c r="E311" s="35"/>
      <c r="F311" s="35"/>
      <c r="G311" s="35"/>
      <c r="H311" s="35"/>
      <c r="I311" s="35"/>
    </row>
    <row r="312" spans="1:11" ht="16" x14ac:dyDescent="0.2">
      <c r="A312" s="34" t="s">
        <v>0</v>
      </c>
      <c r="B312" s="33" t="s">
        <v>2014</v>
      </c>
      <c r="C312" s="33"/>
      <c r="D312" s="33"/>
      <c r="E312" s="33"/>
      <c r="F312" s="33"/>
      <c r="G312" s="33"/>
      <c r="H312" s="33"/>
      <c r="J312" s="28">
        <v>0</v>
      </c>
      <c r="K312" s="19">
        <f>SUM(J312:J315)</f>
        <v>0</v>
      </c>
    </row>
    <row r="313" spans="1:11" ht="16" x14ac:dyDescent="0.2">
      <c r="A313" s="34" t="s">
        <v>1</v>
      </c>
      <c r="B313" s="33" t="s">
        <v>1137</v>
      </c>
      <c r="C313" s="33"/>
      <c r="D313" s="33"/>
      <c r="E313" s="33"/>
      <c r="F313" s="33"/>
      <c r="G313" s="33"/>
      <c r="H313" s="33"/>
      <c r="J313" s="28">
        <v>0</v>
      </c>
      <c r="K313" s="19"/>
    </row>
    <row r="314" spans="1:11" ht="16" x14ac:dyDescent="0.2">
      <c r="A314" s="34" t="s">
        <v>2</v>
      </c>
      <c r="B314" s="33" t="s">
        <v>2013</v>
      </c>
      <c r="C314" s="33"/>
      <c r="D314" s="33"/>
      <c r="E314" s="33"/>
      <c r="F314" s="33"/>
      <c r="G314" s="33"/>
      <c r="H314" s="33"/>
      <c r="J314" s="28">
        <v>0</v>
      </c>
      <c r="K314" s="19"/>
    </row>
    <row r="315" spans="1:11" ht="16" x14ac:dyDescent="0.2">
      <c r="A315" s="34" t="s">
        <v>3</v>
      </c>
      <c r="B315" s="33" t="s">
        <v>1139</v>
      </c>
      <c r="C315" s="33"/>
      <c r="D315" s="33"/>
      <c r="E315" s="33"/>
      <c r="F315" s="33"/>
      <c r="G315" s="33"/>
      <c r="H315" s="33"/>
      <c r="J315" s="28">
        <f>IF(ISNUMBER(SEARCH("x",I315)),1,0)</f>
        <v>0</v>
      </c>
      <c r="K315" s="19"/>
    </row>
    <row r="316" spans="1:11" s="27" customFormat="1" x14ac:dyDescent="0.2"/>
    <row r="317" spans="1:11" x14ac:dyDescent="0.2">
      <c r="A317" s="37" t="s">
        <v>2012</v>
      </c>
      <c r="B317" s="37"/>
      <c r="C317" s="37"/>
      <c r="D317" s="37"/>
      <c r="E317" s="37"/>
      <c r="F317" s="37"/>
      <c r="G317" s="37"/>
      <c r="H317" s="37"/>
      <c r="I317" s="36" t="s">
        <v>1858</v>
      </c>
    </row>
    <row r="318" spans="1:11" x14ac:dyDescent="0.2">
      <c r="A318" s="35" t="s">
        <v>2011</v>
      </c>
      <c r="B318" s="35"/>
      <c r="C318" s="35"/>
      <c r="D318" s="35"/>
      <c r="E318" s="35"/>
      <c r="F318" s="35"/>
      <c r="G318" s="35"/>
      <c r="H318" s="35"/>
      <c r="I318" s="35"/>
    </row>
    <row r="319" spans="1:11" x14ac:dyDescent="0.2">
      <c r="A319" s="35"/>
      <c r="B319" s="35"/>
      <c r="C319" s="35"/>
      <c r="D319" s="35"/>
      <c r="E319" s="35"/>
      <c r="F319" s="35"/>
      <c r="G319" s="35"/>
      <c r="H319" s="35"/>
      <c r="I319" s="35"/>
    </row>
    <row r="320" spans="1:11" x14ac:dyDescent="0.2">
      <c r="A320" s="35"/>
      <c r="B320" s="35"/>
      <c r="C320" s="35"/>
      <c r="D320" s="35"/>
      <c r="E320" s="35"/>
      <c r="F320" s="35"/>
      <c r="G320" s="35"/>
      <c r="H320" s="35"/>
      <c r="I320" s="35"/>
    </row>
    <row r="321" spans="1:11" x14ac:dyDescent="0.2">
      <c r="A321" s="35"/>
      <c r="B321" s="35"/>
      <c r="C321" s="35"/>
      <c r="D321" s="35"/>
      <c r="E321" s="35"/>
      <c r="F321" s="35"/>
      <c r="G321" s="35"/>
      <c r="H321" s="35"/>
      <c r="I321" s="35"/>
    </row>
    <row r="322" spans="1:11" ht="28.75" customHeight="1" x14ac:dyDescent="0.2">
      <c r="A322" s="34" t="s">
        <v>0</v>
      </c>
      <c r="B322" s="33" t="s">
        <v>2010</v>
      </c>
      <c r="C322" s="33"/>
      <c r="D322" s="33"/>
      <c r="E322" s="33"/>
      <c r="F322" s="33"/>
      <c r="G322" s="33"/>
      <c r="H322" s="33"/>
      <c r="J322" s="28">
        <f>IF(ISNUMBER(SEARCH("x",I322)),1,0)</f>
        <v>0</v>
      </c>
      <c r="K322" s="19">
        <f>SUM(J322:J325)</f>
        <v>0</v>
      </c>
    </row>
    <row r="323" spans="1:11" ht="16" x14ac:dyDescent="0.2">
      <c r="A323" s="34" t="s">
        <v>1</v>
      </c>
      <c r="B323" s="33" t="s">
        <v>2009</v>
      </c>
      <c r="C323" s="33"/>
      <c r="D323" s="33"/>
      <c r="E323" s="33"/>
      <c r="F323" s="33"/>
      <c r="G323" s="33"/>
      <c r="H323" s="33"/>
      <c r="J323" s="28">
        <v>0</v>
      </c>
      <c r="K323" s="19"/>
    </row>
    <row r="324" spans="1:11" ht="28.75" customHeight="1" x14ac:dyDescent="0.2">
      <c r="A324" s="34" t="s">
        <v>2</v>
      </c>
      <c r="B324" s="33" t="s">
        <v>2008</v>
      </c>
      <c r="C324" s="33"/>
      <c r="D324" s="33"/>
      <c r="E324" s="33"/>
      <c r="F324" s="33"/>
      <c r="G324" s="33"/>
      <c r="H324" s="33"/>
      <c r="J324" s="38">
        <v>0</v>
      </c>
      <c r="K324" s="19"/>
    </row>
    <row r="325" spans="1:11" ht="28.75" customHeight="1" x14ac:dyDescent="0.2">
      <c r="A325" s="34" t="s">
        <v>3</v>
      </c>
      <c r="B325" s="33" t="s">
        <v>2007</v>
      </c>
      <c r="C325" s="33"/>
      <c r="D325" s="33"/>
      <c r="E325" s="33"/>
      <c r="F325" s="33"/>
      <c r="G325" s="33"/>
      <c r="H325" s="33"/>
      <c r="J325" s="38">
        <v>0</v>
      </c>
      <c r="K325" s="19"/>
    </row>
    <row r="326" spans="1:11" s="27" customFormat="1" x14ac:dyDescent="0.2"/>
    <row r="327" spans="1:11" x14ac:dyDescent="0.2">
      <c r="A327" s="37" t="s">
        <v>2006</v>
      </c>
      <c r="B327" s="37"/>
      <c r="C327" s="37"/>
      <c r="D327" s="37"/>
      <c r="E327" s="37"/>
      <c r="F327" s="37"/>
      <c r="G327" s="37"/>
      <c r="H327" s="37"/>
      <c r="I327" s="36" t="s">
        <v>1858</v>
      </c>
    </row>
    <row r="328" spans="1:11" x14ac:dyDescent="0.2">
      <c r="A328" s="35" t="s">
        <v>2005</v>
      </c>
      <c r="B328" s="35"/>
      <c r="C328" s="35"/>
      <c r="D328" s="35"/>
      <c r="E328" s="35"/>
      <c r="F328" s="35"/>
      <c r="G328" s="35"/>
      <c r="H328" s="35"/>
      <c r="I328" s="35"/>
    </row>
    <row r="329" spans="1:11" x14ac:dyDescent="0.2">
      <c r="A329" s="35"/>
      <c r="B329" s="35"/>
      <c r="C329" s="35"/>
      <c r="D329" s="35"/>
      <c r="E329" s="35"/>
      <c r="F329" s="35"/>
      <c r="G329" s="35"/>
      <c r="H329" s="35"/>
      <c r="I329" s="35"/>
    </row>
    <row r="330" spans="1:11" x14ac:dyDescent="0.2">
      <c r="A330" s="35"/>
      <c r="B330" s="35"/>
      <c r="C330" s="35"/>
      <c r="D330" s="35"/>
      <c r="E330" s="35"/>
      <c r="F330" s="35"/>
      <c r="G330" s="35"/>
      <c r="H330" s="35"/>
      <c r="I330" s="35"/>
    </row>
    <row r="331" spans="1:11" x14ac:dyDescent="0.2">
      <c r="A331" s="35"/>
      <c r="B331" s="35"/>
      <c r="C331" s="35"/>
      <c r="D331" s="35"/>
      <c r="E331" s="35"/>
      <c r="F331" s="35"/>
      <c r="G331" s="35"/>
      <c r="H331" s="35"/>
      <c r="I331" s="35"/>
    </row>
    <row r="332" spans="1:11" ht="16" x14ac:dyDescent="0.2">
      <c r="A332" s="34" t="s">
        <v>0</v>
      </c>
      <c r="B332" s="33" t="s">
        <v>2004</v>
      </c>
      <c r="C332" s="33"/>
      <c r="D332" s="33"/>
      <c r="E332" s="33"/>
      <c r="F332" s="33"/>
      <c r="G332" s="33"/>
      <c r="H332" s="33"/>
      <c r="J332" s="28">
        <f>IF(ISNUMBER(SEARCH("x",I332)),1,0)</f>
        <v>0</v>
      </c>
      <c r="K332" s="19">
        <f>SUM(J332:J335)</f>
        <v>0</v>
      </c>
    </row>
    <row r="333" spans="1:11" ht="16" x14ac:dyDescent="0.2">
      <c r="A333" s="34" t="s">
        <v>1</v>
      </c>
      <c r="B333" s="33" t="s">
        <v>2003</v>
      </c>
      <c r="C333" s="33"/>
      <c r="D333" s="33"/>
      <c r="E333" s="33"/>
      <c r="F333" s="33"/>
      <c r="G333" s="33"/>
      <c r="H333" s="33"/>
      <c r="J333" s="38">
        <v>0</v>
      </c>
      <c r="K333" s="19"/>
    </row>
    <row r="334" spans="1:11" ht="16" x14ac:dyDescent="0.2">
      <c r="A334" s="34" t="s">
        <v>2</v>
      </c>
      <c r="B334" s="33" t="s">
        <v>2002</v>
      </c>
      <c r="C334" s="33"/>
      <c r="D334" s="33"/>
      <c r="E334" s="33"/>
      <c r="F334" s="33"/>
      <c r="G334" s="33"/>
      <c r="H334" s="33"/>
      <c r="J334" s="38">
        <v>0</v>
      </c>
      <c r="K334" s="19"/>
    </row>
    <row r="335" spans="1:11" ht="16" x14ac:dyDescent="0.2">
      <c r="A335" s="34" t="s">
        <v>3</v>
      </c>
      <c r="B335" s="33" t="s">
        <v>2001</v>
      </c>
      <c r="C335" s="33"/>
      <c r="D335" s="33"/>
      <c r="E335" s="33"/>
      <c r="F335" s="33"/>
      <c r="G335" s="33"/>
      <c r="H335" s="33"/>
      <c r="J335" s="38">
        <v>0</v>
      </c>
      <c r="K335" s="19"/>
    </row>
    <row r="336" spans="1:11" s="27" customFormat="1" x14ac:dyDescent="0.2"/>
    <row r="337" spans="1:11" x14ac:dyDescent="0.2">
      <c r="A337" s="37" t="s">
        <v>2000</v>
      </c>
      <c r="B337" s="37"/>
      <c r="C337" s="37"/>
      <c r="D337" s="37"/>
      <c r="E337" s="37"/>
      <c r="F337" s="37"/>
      <c r="G337" s="37"/>
      <c r="H337" s="37"/>
      <c r="I337" s="36" t="s">
        <v>1858</v>
      </c>
    </row>
    <row r="338" spans="1:11" x14ac:dyDescent="0.2">
      <c r="A338" s="35" t="s">
        <v>1999</v>
      </c>
      <c r="B338" s="35"/>
      <c r="C338" s="35"/>
      <c r="D338" s="35"/>
      <c r="E338" s="35"/>
      <c r="F338" s="35"/>
      <c r="G338" s="35"/>
      <c r="H338" s="35"/>
      <c r="I338" s="35"/>
    </row>
    <row r="339" spans="1:11" x14ac:dyDescent="0.2">
      <c r="A339" s="35"/>
      <c r="B339" s="35"/>
      <c r="C339" s="35"/>
      <c r="D339" s="35"/>
      <c r="E339" s="35"/>
      <c r="F339" s="35"/>
      <c r="G339" s="35"/>
      <c r="H339" s="35"/>
      <c r="I339" s="35"/>
    </row>
    <row r="340" spans="1:11" x14ac:dyDescent="0.2">
      <c r="A340" s="35"/>
      <c r="B340" s="35"/>
      <c r="C340" s="35"/>
      <c r="D340" s="35"/>
      <c r="E340" s="35"/>
      <c r="F340" s="35"/>
      <c r="G340" s="35"/>
      <c r="H340" s="35"/>
      <c r="I340" s="35"/>
    </row>
    <row r="341" spans="1:11" x14ac:dyDescent="0.2">
      <c r="A341" s="35"/>
      <c r="B341" s="35"/>
      <c r="C341" s="35"/>
      <c r="D341" s="35"/>
      <c r="E341" s="35"/>
      <c r="F341" s="35"/>
      <c r="G341" s="35"/>
      <c r="H341" s="35"/>
      <c r="I341" s="35"/>
    </row>
    <row r="342" spans="1:11" ht="16" x14ac:dyDescent="0.2">
      <c r="A342" s="34" t="s">
        <v>0</v>
      </c>
      <c r="B342" s="33" t="s">
        <v>1998</v>
      </c>
      <c r="C342" s="33"/>
      <c r="D342" s="33"/>
      <c r="E342" s="33"/>
      <c r="F342" s="33"/>
      <c r="G342" s="33"/>
      <c r="H342" s="33"/>
      <c r="J342" s="28">
        <v>0</v>
      </c>
      <c r="K342" s="19">
        <f>SUM(J342:J345)</f>
        <v>0</v>
      </c>
    </row>
    <row r="343" spans="1:11" ht="16" x14ac:dyDescent="0.2">
      <c r="A343" s="34" t="s">
        <v>1</v>
      </c>
      <c r="B343" s="33" t="s">
        <v>1997</v>
      </c>
      <c r="C343" s="33"/>
      <c r="D343" s="33"/>
      <c r="E343" s="33"/>
      <c r="F343" s="33"/>
      <c r="G343" s="33"/>
      <c r="H343" s="33"/>
      <c r="J343" s="28">
        <v>0</v>
      </c>
      <c r="K343" s="19"/>
    </row>
    <row r="344" spans="1:11" ht="16" x14ac:dyDescent="0.2">
      <c r="A344" s="34" t="s">
        <v>2</v>
      </c>
      <c r="B344" s="33" t="s">
        <v>1996</v>
      </c>
      <c r="C344" s="33"/>
      <c r="D344" s="33"/>
      <c r="E344" s="33"/>
      <c r="F344" s="33"/>
      <c r="G344" s="33"/>
      <c r="H344" s="33"/>
      <c r="J344" s="28">
        <f>IF(ISNUMBER(SEARCH("x",I344)),1,0)</f>
        <v>0</v>
      </c>
      <c r="K344" s="19"/>
    </row>
    <row r="345" spans="1:11" ht="16" x14ac:dyDescent="0.2">
      <c r="A345" s="34" t="s">
        <v>3</v>
      </c>
      <c r="B345" s="33" t="s">
        <v>1995</v>
      </c>
      <c r="C345" s="33"/>
      <c r="D345" s="33"/>
      <c r="E345" s="33"/>
      <c r="F345" s="33"/>
      <c r="G345" s="33"/>
      <c r="H345" s="33"/>
      <c r="J345" s="28">
        <v>0</v>
      </c>
      <c r="K345" s="19"/>
    </row>
    <row r="346" spans="1:11" s="27" customFormat="1" x14ac:dyDescent="0.2"/>
    <row r="347" spans="1:11" x14ac:dyDescent="0.2">
      <c r="A347" s="37" t="s">
        <v>1994</v>
      </c>
      <c r="B347" s="37"/>
      <c r="C347" s="37"/>
      <c r="D347" s="37"/>
      <c r="E347" s="37"/>
      <c r="F347" s="37"/>
      <c r="G347" s="37"/>
      <c r="H347" s="37"/>
      <c r="I347" s="36" t="s">
        <v>1858</v>
      </c>
    </row>
    <row r="348" spans="1:11" x14ac:dyDescent="0.2">
      <c r="A348" s="35" t="s">
        <v>1993</v>
      </c>
      <c r="B348" s="35"/>
      <c r="C348" s="35"/>
      <c r="D348" s="35"/>
      <c r="E348" s="35"/>
      <c r="F348" s="35"/>
      <c r="G348" s="35"/>
      <c r="H348" s="35"/>
      <c r="I348" s="35"/>
    </row>
    <row r="349" spans="1:11" x14ac:dyDescent="0.2">
      <c r="A349" s="35"/>
      <c r="B349" s="35"/>
      <c r="C349" s="35"/>
      <c r="D349" s="35"/>
      <c r="E349" s="35"/>
      <c r="F349" s="35"/>
      <c r="G349" s="35"/>
      <c r="H349" s="35"/>
      <c r="I349" s="35"/>
    </row>
    <row r="350" spans="1:11" x14ac:dyDescent="0.2">
      <c r="A350" s="35"/>
      <c r="B350" s="35"/>
      <c r="C350" s="35"/>
      <c r="D350" s="35"/>
      <c r="E350" s="35"/>
      <c r="F350" s="35"/>
      <c r="G350" s="35"/>
      <c r="H350" s="35"/>
      <c r="I350" s="35"/>
    </row>
    <row r="351" spans="1:11" x14ac:dyDescent="0.2">
      <c r="A351" s="35"/>
      <c r="B351" s="35"/>
      <c r="C351" s="35"/>
      <c r="D351" s="35"/>
      <c r="E351" s="35"/>
      <c r="F351" s="35"/>
      <c r="G351" s="35"/>
      <c r="H351" s="35"/>
      <c r="I351" s="35"/>
    </row>
    <row r="352" spans="1:11" ht="16" x14ac:dyDescent="0.2">
      <c r="A352" s="34" t="s">
        <v>0</v>
      </c>
      <c r="B352" s="33" t="s">
        <v>1992</v>
      </c>
      <c r="C352" s="33"/>
      <c r="D352" s="33"/>
      <c r="E352" s="33"/>
      <c r="F352" s="33"/>
      <c r="G352" s="33"/>
      <c r="H352" s="33"/>
      <c r="J352" s="28">
        <f>IF(ISNUMBER(SEARCH("x",I352)),1,0)</f>
        <v>0</v>
      </c>
      <c r="K352" s="19">
        <f>SUM(J352:J355)</f>
        <v>0</v>
      </c>
    </row>
    <row r="353" spans="1:11" ht="28.75" customHeight="1" x14ac:dyDescent="0.2">
      <c r="A353" s="34" t="s">
        <v>1</v>
      </c>
      <c r="B353" s="33" t="s">
        <v>1991</v>
      </c>
      <c r="C353" s="33"/>
      <c r="D353" s="33"/>
      <c r="E353" s="33"/>
      <c r="F353" s="33"/>
      <c r="G353" s="33"/>
      <c r="H353" s="33"/>
      <c r="J353" s="38">
        <v>0</v>
      </c>
      <c r="K353" s="19"/>
    </row>
    <row r="354" spans="1:11" ht="16" x14ac:dyDescent="0.2">
      <c r="A354" s="34" t="s">
        <v>2</v>
      </c>
      <c r="B354" s="33" t="s">
        <v>1990</v>
      </c>
      <c r="C354" s="33"/>
      <c r="D354" s="33"/>
      <c r="E354" s="33"/>
      <c r="F354" s="33"/>
      <c r="G354" s="33"/>
      <c r="H354" s="33"/>
      <c r="J354" s="38">
        <v>0</v>
      </c>
      <c r="K354" s="19"/>
    </row>
    <row r="355" spans="1:11" ht="28.75" customHeight="1" x14ac:dyDescent="0.2">
      <c r="A355" s="34" t="s">
        <v>3</v>
      </c>
      <c r="B355" s="33" t="s">
        <v>1989</v>
      </c>
      <c r="C355" s="33"/>
      <c r="D355" s="33"/>
      <c r="E355" s="33"/>
      <c r="F355" s="33"/>
      <c r="G355" s="33"/>
      <c r="H355" s="33"/>
      <c r="J355" s="38">
        <v>0</v>
      </c>
      <c r="K355" s="19"/>
    </row>
    <row r="356" spans="1:11" s="27" customFormat="1" x14ac:dyDescent="0.2"/>
    <row r="357" spans="1:11" x14ac:dyDescent="0.2">
      <c r="A357" s="37" t="s">
        <v>1988</v>
      </c>
      <c r="B357" s="37"/>
      <c r="C357" s="37"/>
      <c r="D357" s="37"/>
      <c r="E357" s="37"/>
      <c r="F357" s="37"/>
      <c r="G357" s="37"/>
      <c r="H357" s="37"/>
      <c r="I357" s="36" t="s">
        <v>1858</v>
      </c>
    </row>
    <row r="358" spans="1:11" x14ac:dyDescent="0.2">
      <c r="A358" s="35" t="s">
        <v>1987</v>
      </c>
      <c r="B358" s="35"/>
      <c r="C358" s="35"/>
      <c r="D358" s="35"/>
      <c r="E358" s="35"/>
      <c r="F358" s="35"/>
      <c r="G358" s="35"/>
      <c r="H358" s="35"/>
      <c r="I358" s="35"/>
    </row>
    <row r="359" spans="1:11" x14ac:dyDescent="0.2">
      <c r="A359" s="35"/>
      <c r="B359" s="35"/>
      <c r="C359" s="35"/>
      <c r="D359" s="35"/>
      <c r="E359" s="35"/>
      <c r="F359" s="35"/>
      <c r="G359" s="35"/>
      <c r="H359" s="35"/>
      <c r="I359" s="35"/>
    </row>
    <row r="360" spans="1:11" x14ac:dyDescent="0.2">
      <c r="A360" s="35"/>
      <c r="B360" s="35"/>
      <c r="C360" s="35"/>
      <c r="D360" s="35"/>
      <c r="E360" s="35"/>
      <c r="F360" s="35"/>
      <c r="G360" s="35"/>
      <c r="H360" s="35"/>
      <c r="I360" s="35"/>
    </row>
    <row r="361" spans="1:11" x14ac:dyDescent="0.2">
      <c r="A361" s="35"/>
      <c r="B361" s="35"/>
      <c r="C361" s="35"/>
      <c r="D361" s="35"/>
      <c r="E361" s="35"/>
      <c r="F361" s="35"/>
      <c r="G361" s="35"/>
      <c r="H361" s="35"/>
      <c r="I361" s="35"/>
    </row>
    <row r="362" spans="1:11" ht="16" x14ac:dyDescent="0.2">
      <c r="A362" s="34" t="s">
        <v>0</v>
      </c>
      <c r="B362" s="33" t="s">
        <v>14</v>
      </c>
      <c r="C362" s="33"/>
      <c r="D362" s="33"/>
      <c r="E362" s="33"/>
      <c r="F362" s="33"/>
      <c r="G362" s="33"/>
      <c r="H362" s="33"/>
      <c r="J362" s="28">
        <v>0</v>
      </c>
      <c r="K362" s="19">
        <f>SUM(J362:J365)</f>
        <v>0</v>
      </c>
    </row>
    <row r="363" spans="1:11" ht="16" x14ac:dyDescent="0.2">
      <c r="A363" s="34" t="s">
        <v>1</v>
      </c>
      <c r="B363" s="33" t="s">
        <v>1523</v>
      </c>
      <c r="C363" s="33"/>
      <c r="D363" s="33"/>
      <c r="E363" s="33"/>
      <c r="F363" s="33"/>
      <c r="G363" s="33"/>
      <c r="H363" s="33"/>
      <c r="J363" s="28">
        <v>0</v>
      </c>
      <c r="K363" s="19"/>
    </row>
    <row r="364" spans="1:11" ht="16" x14ac:dyDescent="0.2">
      <c r="A364" s="34" t="s">
        <v>2</v>
      </c>
      <c r="B364" s="33" t="s">
        <v>5</v>
      </c>
      <c r="C364" s="33"/>
      <c r="D364" s="33"/>
      <c r="E364" s="33"/>
      <c r="F364" s="33"/>
      <c r="G364" s="33"/>
      <c r="H364" s="33"/>
      <c r="J364" s="28">
        <v>0</v>
      </c>
      <c r="K364" s="19"/>
    </row>
    <row r="365" spans="1:11" ht="16" x14ac:dyDescent="0.2">
      <c r="A365" s="34" t="s">
        <v>3</v>
      </c>
      <c r="B365" s="33" t="s">
        <v>4</v>
      </c>
      <c r="C365" s="33"/>
      <c r="D365" s="33"/>
      <c r="E365" s="33"/>
      <c r="F365" s="33"/>
      <c r="G365" s="33"/>
      <c r="H365" s="33"/>
      <c r="J365" s="28">
        <f>IF(ISNUMBER(SEARCH("x",I365)),1,0)</f>
        <v>0</v>
      </c>
      <c r="K365" s="19"/>
    </row>
    <row r="366" spans="1:11" s="27" customFormat="1" x14ac:dyDescent="0.2"/>
    <row r="367" spans="1:11" x14ac:dyDescent="0.2">
      <c r="A367" s="37" t="s">
        <v>1986</v>
      </c>
      <c r="B367" s="37"/>
      <c r="C367" s="37"/>
      <c r="D367" s="37"/>
      <c r="E367" s="37"/>
      <c r="F367" s="37"/>
      <c r="G367" s="37"/>
      <c r="H367" s="37"/>
      <c r="I367" s="36" t="s">
        <v>1858</v>
      </c>
    </row>
    <row r="368" spans="1:11" x14ac:dyDescent="0.2">
      <c r="A368" s="35" t="s">
        <v>1985</v>
      </c>
      <c r="B368" s="35"/>
      <c r="C368" s="35"/>
      <c r="D368" s="35"/>
      <c r="E368" s="35"/>
      <c r="F368" s="35"/>
      <c r="G368" s="35"/>
      <c r="H368" s="35"/>
      <c r="I368" s="35"/>
    </row>
    <row r="369" spans="1:11" x14ac:dyDescent="0.2">
      <c r="A369" s="35"/>
      <c r="B369" s="35"/>
      <c r="C369" s="35"/>
      <c r="D369" s="35"/>
      <c r="E369" s="35"/>
      <c r="F369" s="35"/>
      <c r="G369" s="35"/>
      <c r="H369" s="35"/>
      <c r="I369" s="35"/>
    </row>
    <row r="370" spans="1:11" x14ac:dyDescent="0.2">
      <c r="A370" s="35"/>
      <c r="B370" s="35"/>
      <c r="C370" s="35"/>
      <c r="D370" s="35"/>
      <c r="E370" s="35"/>
      <c r="F370" s="35"/>
      <c r="G370" s="35"/>
      <c r="H370" s="35"/>
      <c r="I370" s="35"/>
    </row>
    <row r="371" spans="1:11" x14ac:dyDescent="0.2">
      <c r="A371" s="35"/>
      <c r="B371" s="35"/>
      <c r="C371" s="35"/>
      <c r="D371" s="35"/>
      <c r="E371" s="35"/>
      <c r="F371" s="35"/>
      <c r="G371" s="35"/>
      <c r="H371" s="35"/>
      <c r="I371" s="35"/>
    </row>
    <row r="372" spans="1:11" ht="16" x14ac:dyDescent="0.2">
      <c r="A372" s="34" t="s">
        <v>0</v>
      </c>
      <c r="B372" s="33" t="s">
        <v>1984</v>
      </c>
      <c r="C372" s="33"/>
      <c r="D372" s="33"/>
      <c r="E372" s="33"/>
      <c r="F372" s="33"/>
      <c r="G372" s="33"/>
      <c r="H372" s="33"/>
      <c r="J372" s="28">
        <v>0</v>
      </c>
      <c r="K372" s="19">
        <f>SUM(J372:J375)</f>
        <v>0</v>
      </c>
    </row>
    <row r="373" spans="1:11" ht="16" x14ac:dyDescent="0.2">
      <c r="A373" s="34" t="s">
        <v>1</v>
      </c>
      <c r="B373" s="33" t="s">
        <v>1680</v>
      </c>
      <c r="C373" s="33"/>
      <c r="D373" s="33"/>
      <c r="E373" s="33"/>
      <c r="F373" s="33"/>
      <c r="G373" s="33"/>
      <c r="H373" s="33"/>
      <c r="J373" s="28">
        <v>0</v>
      </c>
      <c r="K373" s="19"/>
    </row>
    <row r="374" spans="1:11" ht="16" x14ac:dyDescent="0.2">
      <c r="A374" s="34" t="s">
        <v>2</v>
      </c>
      <c r="B374" s="33" t="s">
        <v>808</v>
      </c>
      <c r="C374" s="33"/>
      <c r="D374" s="33"/>
      <c r="E374" s="33"/>
      <c r="F374" s="33"/>
      <c r="G374" s="33"/>
      <c r="H374" s="33"/>
      <c r="J374" s="28">
        <v>0</v>
      </c>
      <c r="K374" s="19"/>
    </row>
    <row r="375" spans="1:11" ht="16" x14ac:dyDescent="0.2">
      <c r="A375" s="34" t="s">
        <v>3</v>
      </c>
      <c r="B375" s="33" t="s">
        <v>1099</v>
      </c>
      <c r="C375" s="33"/>
      <c r="D375" s="33"/>
      <c r="E375" s="33"/>
      <c r="F375" s="33"/>
      <c r="G375" s="33"/>
      <c r="H375" s="33"/>
      <c r="J375" s="28">
        <f>IF(ISNUMBER(SEARCH("x",I375)),1,0)</f>
        <v>0</v>
      </c>
      <c r="K375" s="19"/>
    </row>
    <row r="376" spans="1:11" s="27" customFormat="1" x14ac:dyDescent="0.2"/>
    <row r="377" spans="1:11" x14ac:dyDescent="0.2">
      <c r="A377" s="37" t="s">
        <v>1983</v>
      </c>
      <c r="B377" s="37"/>
      <c r="C377" s="37"/>
      <c r="D377" s="37"/>
      <c r="E377" s="37"/>
      <c r="F377" s="37"/>
      <c r="G377" s="37"/>
      <c r="H377" s="37"/>
      <c r="I377" s="36" t="s">
        <v>1858</v>
      </c>
    </row>
    <row r="378" spans="1:11" x14ac:dyDescent="0.2">
      <c r="A378" s="35" t="s">
        <v>1982</v>
      </c>
      <c r="B378" s="35"/>
      <c r="C378" s="35"/>
      <c r="D378" s="35"/>
      <c r="E378" s="35"/>
      <c r="F378" s="35"/>
      <c r="G378" s="35"/>
      <c r="H378" s="35"/>
      <c r="I378" s="35"/>
    </row>
    <row r="379" spans="1:11" x14ac:dyDescent="0.2">
      <c r="A379" s="35"/>
      <c r="B379" s="35"/>
      <c r="C379" s="35"/>
      <c r="D379" s="35"/>
      <c r="E379" s="35"/>
      <c r="F379" s="35"/>
      <c r="G379" s="35"/>
      <c r="H379" s="35"/>
      <c r="I379" s="35"/>
    </row>
    <row r="380" spans="1:11" x14ac:dyDescent="0.2">
      <c r="A380" s="35"/>
      <c r="B380" s="35"/>
      <c r="C380" s="35"/>
      <c r="D380" s="35"/>
      <c r="E380" s="35"/>
      <c r="F380" s="35"/>
      <c r="G380" s="35"/>
      <c r="H380" s="35"/>
      <c r="I380" s="35"/>
    </row>
    <row r="381" spans="1:11" x14ac:dyDescent="0.2">
      <c r="A381" s="35"/>
      <c r="B381" s="35"/>
      <c r="C381" s="35"/>
      <c r="D381" s="35"/>
      <c r="E381" s="35"/>
      <c r="F381" s="35"/>
      <c r="G381" s="35"/>
      <c r="H381" s="35"/>
      <c r="I381" s="35"/>
    </row>
    <row r="382" spans="1:11" ht="16" x14ac:dyDescent="0.2">
      <c r="A382" s="34" t="s">
        <v>0</v>
      </c>
      <c r="B382" s="33" t="s">
        <v>1456</v>
      </c>
      <c r="C382" s="33"/>
      <c r="D382" s="33"/>
      <c r="E382" s="33"/>
      <c r="F382" s="33"/>
      <c r="G382" s="33"/>
      <c r="H382" s="33"/>
      <c r="J382" s="28">
        <v>0</v>
      </c>
      <c r="K382" s="19">
        <f>SUM(J382:J385)</f>
        <v>0</v>
      </c>
    </row>
    <row r="383" spans="1:11" ht="16" x14ac:dyDescent="0.2">
      <c r="A383" s="34" t="s">
        <v>1</v>
      </c>
      <c r="B383" s="33" t="s">
        <v>1981</v>
      </c>
      <c r="C383" s="33"/>
      <c r="D383" s="33"/>
      <c r="E383" s="33"/>
      <c r="F383" s="33"/>
      <c r="G383" s="33"/>
      <c r="H383" s="33"/>
      <c r="J383" s="28">
        <v>0</v>
      </c>
      <c r="K383" s="19"/>
    </row>
    <row r="384" spans="1:11" ht="16" x14ac:dyDescent="0.2">
      <c r="A384" s="34" t="s">
        <v>2</v>
      </c>
      <c r="B384" s="33" t="s">
        <v>809</v>
      </c>
      <c r="C384" s="33"/>
      <c r="D384" s="33"/>
      <c r="E384" s="33"/>
      <c r="F384" s="33"/>
      <c r="G384" s="33"/>
      <c r="H384" s="33"/>
      <c r="J384" s="28">
        <f>IF(ISNUMBER(SEARCH("x",I384)),1,0)</f>
        <v>0</v>
      </c>
      <c r="K384" s="19"/>
    </row>
    <row r="385" spans="1:11" ht="16" x14ac:dyDescent="0.2">
      <c r="A385" s="34" t="s">
        <v>3</v>
      </c>
      <c r="B385" s="33" t="s">
        <v>1454</v>
      </c>
      <c r="C385" s="33"/>
      <c r="D385" s="33"/>
      <c r="E385" s="33"/>
      <c r="F385" s="33"/>
      <c r="G385" s="33"/>
      <c r="H385" s="33"/>
      <c r="J385" s="28">
        <v>0</v>
      </c>
      <c r="K385" s="19"/>
    </row>
    <row r="386" spans="1:11" s="27" customFormat="1" x14ac:dyDescent="0.2"/>
    <row r="387" spans="1:11" x14ac:dyDescent="0.2">
      <c r="A387" s="37" t="s">
        <v>1980</v>
      </c>
      <c r="B387" s="37"/>
      <c r="C387" s="37"/>
      <c r="D387" s="37"/>
      <c r="E387" s="37"/>
      <c r="F387" s="37"/>
      <c r="G387" s="37"/>
      <c r="H387" s="37"/>
      <c r="I387" s="36" t="s">
        <v>1858</v>
      </c>
    </row>
    <row r="388" spans="1:11" x14ac:dyDescent="0.2">
      <c r="A388" s="35" t="s">
        <v>1979</v>
      </c>
      <c r="B388" s="35"/>
      <c r="C388" s="35"/>
      <c r="D388" s="35"/>
      <c r="E388" s="35"/>
      <c r="F388" s="35"/>
      <c r="G388" s="35"/>
      <c r="H388" s="35"/>
      <c r="I388" s="35"/>
    </row>
    <row r="389" spans="1:11" x14ac:dyDescent="0.2">
      <c r="A389" s="35"/>
      <c r="B389" s="35"/>
      <c r="C389" s="35"/>
      <c r="D389" s="35"/>
      <c r="E389" s="35"/>
      <c r="F389" s="35"/>
      <c r="G389" s="35"/>
      <c r="H389" s="35"/>
      <c r="I389" s="35"/>
    </row>
    <row r="390" spans="1:11" x14ac:dyDescent="0.2">
      <c r="A390" s="35"/>
      <c r="B390" s="35"/>
      <c r="C390" s="35"/>
      <c r="D390" s="35"/>
      <c r="E390" s="35"/>
      <c r="F390" s="35"/>
      <c r="G390" s="35"/>
      <c r="H390" s="35"/>
      <c r="I390" s="35"/>
    </row>
    <row r="391" spans="1:11" x14ac:dyDescent="0.2">
      <c r="A391" s="35"/>
      <c r="B391" s="35"/>
      <c r="C391" s="35"/>
      <c r="D391" s="35"/>
      <c r="E391" s="35"/>
      <c r="F391" s="35"/>
      <c r="G391" s="35"/>
      <c r="H391" s="35"/>
      <c r="I391" s="35"/>
    </row>
    <row r="392" spans="1:11" ht="16" x14ac:dyDescent="0.2">
      <c r="A392" s="34" t="s">
        <v>0</v>
      </c>
      <c r="B392" s="33" t="s">
        <v>5</v>
      </c>
      <c r="C392" s="33"/>
      <c r="D392" s="33"/>
      <c r="E392" s="33"/>
      <c r="F392" s="33"/>
      <c r="G392" s="33"/>
      <c r="H392" s="33"/>
      <c r="J392" s="28">
        <v>0</v>
      </c>
      <c r="K392" s="19">
        <f>SUM(J392:J395)</f>
        <v>0</v>
      </c>
    </row>
    <row r="393" spans="1:11" ht="16" x14ac:dyDescent="0.2">
      <c r="A393" s="34" t="s">
        <v>1</v>
      </c>
      <c r="B393" s="33" t="s">
        <v>1099</v>
      </c>
      <c r="C393" s="33"/>
      <c r="D393" s="33"/>
      <c r="E393" s="33"/>
      <c r="F393" s="33"/>
      <c r="G393" s="33"/>
      <c r="H393" s="33"/>
      <c r="J393" s="28">
        <v>0</v>
      </c>
      <c r="K393" s="19"/>
    </row>
    <row r="394" spans="1:11" ht="16" x14ac:dyDescent="0.2">
      <c r="A394" s="34" t="s">
        <v>2</v>
      </c>
      <c r="B394" s="33" t="s">
        <v>536</v>
      </c>
      <c r="C394" s="33"/>
      <c r="D394" s="33"/>
      <c r="E394" s="33"/>
      <c r="F394" s="33"/>
      <c r="G394" s="33"/>
      <c r="H394" s="33"/>
      <c r="J394" s="28">
        <f>IF(ISNUMBER(SEARCH("x",I394)),1,0)</f>
        <v>0</v>
      </c>
      <c r="K394" s="19"/>
    </row>
    <row r="395" spans="1:11" ht="16" x14ac:dyDescent="0.2">
      <c r="A395" s="34" t="s">
        <v>3</v>
      </c>
      <c r="B395" s="33" t="s">
        <v>1956</v>
      </c>
      <c r="C395" s="33"/>
      <c r="D395" s="33"/>
      <c r="E395" s="33"/>
      <c r="F395" s="33"/>
      <c r="G395" s="33"/>
      <c r="H395" s="33"/>
      <c r="J395" s="28">
        <v>0</v>
      </c>
      <c r="K395" s="19"/>
    </row>
    <row r="396" spans="1:11" s="27" customFormat="1" x14ac:dyDescent="0.2"/>
    <row r="397" spans="1:11" x14ac:dyDescent="0.2">
      <c r="A397" s="37" t="s">
        <v>1978</v>
      </c>
      <c r="B397" s="37"/>
      <c r="C397" s="37"/>
      <c r="D397" s="37"/>
      <c r="E397" s="37"/>
      <c r="F397" s="37"/>
      <c r="G397" s="37"/>
      <c r="H397" s="37"/>
      <c r="I397" s="36" t="s">
        <v>1858</v>
      </c>
    </row>
    <row r="398" spans="1:11" x14ac:dyDescent="0.2">
      <c r="A398" s="35" t="s">
        <v>1977</v>
      </c>
      <c r="B398" s="35"/>
      <c r="C398" s="35"/>
      <c r="D398" s="35"/>
      <c r="E398" s="35"/>
      <c r="F398" s="35"/>
      <c r="G398" s="35"/>
      <c r="H398" s="35"/>
      <c r="I398" s="35"/>
    </row>
    <row r="399" spans="1:11" x14ac:dyDescent="0.2">
      <c r="A399" s="35"/>
      <c r="B399" s="35"/>
      <c r="C399" s="35"/>
      <c r="D399" s="35"/>
      <c r="E399" s="35"/>
      <c r="F399" s="35"/>
      <c r="G399" s="35"/>
      <c r="H399" s="35"/>
      <c r="I399" s="35"/>
    </row>
    <row r="400" spans="1:11" x14ac:dyDescent="0.2">
      <c r="A400" s="35"/>
      <c r="B400" s="35"/>
      <c r="C400" s="35"/>
      <c r="D400" s="35"/>
      <c r="E400" s="35"/>
      <c r="F400" s="35"/>
      <c r="G400" s="35"/>
      <c r="H400" s="35"/>
      <c r="I400" s="35"/>
    </row>
    <row r="401" spans="1:11" x14ac:dyDescent="0.2">
      <c r="A401" s="35"/>
      <c r="B401" s="35"/>
      <c r="C401" s="35"/>
      <c r="D401" s="35"/>
      <c r="E401" s="35"/>
      <c r="F401" s="35"/>
      <c r="G401" s="35"/>
      <c r="H401" s="35"/>
      <c r="I401" s="35"/>
    </row>
    <row r="402" spans="1:11" ht="16" x14ac:dyDescent="0.2">
      <c r="A402" s="34" t="s">
        <v>0</v>
      </c>
      <c r="B402" s="33" t="s">
        <v>1976</v>
      </c>
      <c r="C402" s="33"/>
      <c r="D402" s="33"/>
      <c r="E402" s="33"/>
      <c r="F402" s="33"/>
      <c r="G402" s="33"/>
      <c r="H402" s="33"/>
      <c r="J402" s="28">
        <f>IF(ISNUMBER(SEARCH("x",I402)),-0.5,0)</f>
        <v>0</v>
      </c>
      <c r="K402" s="19">
        <f>MAX(SUM(J402:J406),0)</f>
        <v>0</v>
      </c>
    </row>
    <row r="403" spans="1:11" ht="16" x14ac:dyDescent="0.2">
      <c r="A403" s="34" t="s">
        <v>1</v>
      </c>
      <c r="B403" s="33" t="s">
        <v>1942</v>
      </c>
      <c r="C403" s="33"/>
      <c r="D403" s="33"/>
      <c r="E403" s="33"/>
      <c r="F403" s="33"/>
      <c r="G403" s="33"/>
      <c r="H403" s="33"/>
      <c r="J403" s="28">
        <f>IF(ISNUMBER(SEARCH("x",I403)),-0.5,0)</f>
        <v>0</v>
      </c>
      <c r="K403" s="19"/>
    </row>
    <row r="404" spans="1:11" ht="16" x14ac:dyDescent="0.2">
      <c r="A404" s="34" t="s">
        <v>2</v>
      </c>
      <c r="B404" s="33" t="s">
        <v>621</v>
      </c>
      <c r="C404" s="33"/>
      <c r="D404" s="33"/>
      <c r="E404" s="33"/>
      <c r="F404" s="33"/>
      <c r="G404" s="33"/>
      <c r="H404" s="33"/>
      <c r="J404" s="28">
        <f>IF(ISNUMBER(SEARCH("x",I404)),0.5,0)</f>
        <v>0</v>
      </c>
      <c r="K404" s="19"/>
    </row>
    <row r="405" spans="1:11" ht="16" x14ac:dyDescent="0.2">
      <c r="A405" s="34" t="s">
        <v>3</v>
      </c>
      <c r="B405" s="33" t="s">
        <v>761</v>
      </c>
      <c r="C405" s="33"/>
      <c r="D405" s="33"/>
      <c r="E405" s="33"/>
      <c r="F405" s="33"/>
      <c r="G405" s="33"/>
      <c r="H405" s="33"/>
      <c r="J405" s="28">
        <f>IF(ISNUMBER(SEARCH("x",I405)),0.5,0)</f>
        <v>0</v>
      </c>
      <c r="K405" s="19"/>
    </row>
    <row r="406" spans="1:11" ht="16" x14ac:dyDescent="0.2">
      <c r="A406" s="34" t="s">
        <v>6</v>
      </c>
      <c r="B406" s="33" t="s">
        <v>5</v>
      </c>
      <c r="C406" s="33"/>
      <c r="D406" s="33"/>
      <c r="E406" s="33"/>
      <c r="F406" s="33"/>
      <c r="G406" s="33"/>
      <c r="H406" s="33"/>
      <c r="J406" s="28">
        <f>IF(ISNUMBER(SEARCH("x",I406)),-0.5,0)</f>
        <v>0</v>
      </c>
      <c r="K406" s="19"/>
    </row>
    <row r="407" spans="1:11" s="27" customFormat="1" x14ac:dyDescent="0.2"/>
    <row r="408" spans="1:11" x14ac:dyDescent="0.2">
      <c r="A408" s="37" t="s">
        <v>1975</v>
      </c>
      <c r="B408" s="37"/>
      <c r="C408" s="37"/>
      <c r="D408" s="37"/>
      <c r="E408" s="37"/>
      <c r="F408" s="37"/>
      <c r="G408" s="37"/>
      <c r="H408" s="37"/>
      <c r="I408" s="36" t="s">
        <v>1858</v>
      </c>
    </row>
    <row r="409" spans="1:11" x14ac:dyDescent="0.2">
      <c r="A409" s="35" t="s">
        <v>1974</v>
      </c>
      <c r="B409" s="35"/>
      <c r="C409" s="35"/>
      <c r="D409" s="35"/>
      <c r="E409" s="35"/>
      <c r="F409" s="35"/>
      <c r="G409" s="35"/>
      <c r="H409" s="35"/>
      <c r="I409" s="35"/>
    </row>
    <row r="410" spans="1:11" x14ac:dyDescent="0.2">
      <c r="A410" s="35"/>
      <c r="B410" s="35"/>
      <c r="C410" s="35"/>
      <c r="D410" s="35"/>
      <c r="E410" s="35"/>
      <c r="F410" s="35"/>
      <c r="G410" s="35"/>
      <c r="H410" s="35"/>
      <c r="I410" s="35"/>
    </row>
    <row r="411" spans="1:11" x14ac:dyDescent="0.2">
      <c r="A411" s="35"/>
      <c r="B411" s="35"/>
      <c r="C411" s="35"/>
      <c r="D411" s="35"/>
      <c r="E411" s="35"/>
      <c r="F411" s="35"/>
      <c r="G411" s="35"/>
      <c r="H411" s="35"/>
      <c r="I411" s="35"/>
    </row>
    <row r="412" spans="1:11" x14ac:dyDescent="0.2">
      <c r="A412" s="35"/>
      <c r="B412" s="35"/>
      <c r="C412" s="35"/>
      <c r="D412" s="35"/>
      <c r="E412" s="35"/>
      <c r="F412" s="35"/>
      <c r="G412" s="35"/>
      <c r="H412" s="35"/>
      <c r="I412" s="35"/>
    </row>
    <row r="413" spans="1:11" ht="16" x14ac:dyDescent="0.2">
      <c r="A413" s="34" t="s">
        <v>0</v>
      </c>
      <c r="B413" s="33" t="s">
        <v>1973</v>
      </c>
      <c r="C413" s="33"/>
      <c r="D413" s="33"/>
      <c r="E413" s="33"/>
      <c r="F413" s="33"/>
      <c r="G413" s="33"/>
      <c r="H413" s="33"/>
      <c r="J413" s="28">
        <v>0</v>
      </c>
      <c r="K413" s="19">
        <f>SUM(J413:J416)</f>
        <v>0</v>
      </c>
    </row>
    <row r="414" spans="1:11" ht="16" x14ac:dyDescent="0.2">
      <c r="A414" s="34" t="s">
        <v>1</v>
      </c>
      <c r="B414" s="33" t="s">
        <v>1972</v>
      </c>
      <c r="C414" s="33"/>
      <c r="D414" s="33"/>
      <c r="E414" s="33"/>
      <c r="F414" s="33"/>
      <c r="G414" s="33"/>
      <c r="H414" s="33"/>
      <c r="J414" s="28">
        <f>IF(ISNUMBER(SEARCH("x",I414)),1,0)</f>
        <v>0</v>
      </c>
      <c r="K414" s="19"/>
    </row>
    <row r="415" spans="1:11" ht="16" x14ac:dyDescent="0.2">
      <c r="A415" s="34" t="s">
        <v>2</v>
      </c>
      <c r="B415" s="33" t="s">
        <v>1971</v>
      </c>
      <c r="C415" s="33"/>
      <c r="D415" s="33"/>
      <c r="E415" s="33"/>
      <c r="F415" s="33"/>
      <c r="G415" s="33"/>
      <c r="H415" s="33"/>
      <c r="J415" s="38">
        <v>0</v>
      </c>
      <c r="K415" s="19"/>
    </row>
    <row r="416" spans="1:11" ht="28.75" customHeight="1" x14ac:dyDescent="0.2">
      <c r="A416" s="34" t="s">
        <v>3</v>
      </c>
      <c r="B416" s="33" t="s">
        <v>1970</v>
      </c>
      <c r="C416" s="33"/>
      <c r="D416" s="33"/>
      <c r="E416" s="33"/>
      <c r="F416" s="33"/>
      <c r="G416" s="33"/>
      <c r="H416" s="33"/>
      <c r="J416" s="28">
        <v>0</v>
      </c>
      <c r="K416" s="19"/>
    </row>
    <row r="417" spans="1:11" s="27" customFormat="1" x14ac:dyDescent="0.2"/>
    <row r="418" spans="1:11" x14ac:dyDescent="0.2">
      <c r="A418" s="37" t="s">
        <v>1969</v>
      </c>
      <c r="B418" s="37"/>
      <c r="C418" s="37"/>
      <c r="D418" s="37"/>
      <c r="E418" s="37"/>
      <c r="F418" s="37"/>
      <c r="G418" s="37"/>
      <c r="H418" s="37"/>
      <c r="I418" s="36" t="s">
        <v>1858</v>
      </c>
    </row>
    <row r="419" spans="1:11" x14ac:dyDescent="0.2">
      <c r="A419" s="35" t="s">
        <v>1968</v>
      </c>
      <c r="B419" s="35"/>
      <c r="C419" s="35"/>
      <c r="D419" s="35"/>
      <c r="E419" s="35"/>
      <c r="F419" s="35"/>
      <c r="G419" s="35"/>
      <c r="H419" s="35"/>
      <c r="I419" s="35"/>
    </row>
    <row r="420" spans="1:11" x14ac:dyDescent="0.2">
      <c r="A420" s="35"/>
      <c r="B420" s="35"/>
      <c r="C420" s="35"/>
      <c r="D420" s="35"/>
      <c r="E420" s="35"/>
      <c r="F420" s="35"/>
      <c r="G420" s="35"/>
      <c r="H420" s="35"/>
      <c r="I420" s="35"/>
    </row>
    <row r="421" spans="1:11" x14ac:dyDescent="0.2">
      <c r="A421" s="35"/>
      <c r="B421" s="35"/>
      <c r="C421" s="35"/>
      <c r="D421" s="35"/>
      <c r="E421" s="35"/>
      <c r="F421" s="35"/>
      <c r="G421" s="35"/>
      <c r="H421" s="35"/>
      <c r="I421" s="35"/>
    </row>
    <row r="422" spans="1:11" x14ac:dyDescent="0.2">
      <c r="A422" s="35"/>
      <c r="B422" s="35"/>
      <c r="C422" s="35"/>
      <c r="D422" s="35"/>
      <c r="E422" s="35"/>
      <c r="F422" s="35"/>
      <c r="G422" s="35"/>
      <c r="H422" s="35"/>
      <c r="I422" s="35"/>
    </row>
    <row r="423" spans="1:11" ht="16" x14ac:dyDescent="0.2">
      <c r="A423" s="34" t="s">
        <v>0</v>
      </c>
      <c r="B423" s="33" t="s">
        <v>1967</v>
      </c>
      <c r="C423" s="33"/>
      <c r="D423" s="33"/>
      <c r="E423" s="33"/>
      <c r="F423" s="33"/>
      <c r="G423" s="33"/>
      <c r="H423" s="33"/>
      <c r="J423" s="28">
        <v>0</v>
      </c>
      <c r="K423" s="19">
        <f>SUM(J423:J426)</f>
        <v>0</v>
      </c>
    </row>
    <row r="424" spans="1:11" ht="16" x14ac:dyDescent="0.2">
      <c r="A424" s="34" t="s">
        <v>1</v>
      </c>
      <c r="B424" s="33" t="s">
        <v>1966</v>
      </c>
      <c r="C424" s="33"/>
      <c r="D424" s="33"/>
      <c r="E424" s="33"/>
      <c r="F424" s="33"/>
      <c r="G424" s="33"/>
      <c r="H424" s="33"/>
      <c r="J424" s="28">
        <f>IF(ISNUMBER(SEARCH("x",I424)),1,0)</f>
        <v>0</v>
      </c>
      <c r="K424" s="19"/>
    </row>
    <row r="425" spans="1:11" ht="16" x14ac:dyDescent="0.2">
      <c r="A425" s="34" t="s">
        <v>2</v>
      </c>
      <c r="B425" s="33" t="s">
        <v>1965</v>
      </c>
      <c r="C425" s="33"/>
      <c r="D425" s="33"/>
      <c r="E425" s="33"/>
      <c r="F425" s="33"/>
      <c r="G425" s="33"/>
      <c r="H425" s="33"/>
      <c r="J425" s="38">
        <v>0</v>
      </c>
      <c r="K425" s="19"/>
    </row>
    <row r="426" spans="1:11" ht="16" x14ac:dyDescent="0.2">
      <c r="A426" s="34" t="s">
        <v>3</v>
      </c>
      <c r="B426" s="33" t="s">
        <v>1964</v>
      </c>
      <c r="C426" s="33"/>
      <c r="D426" s="33"/>
      <c r="E426" s="33"/>
      <c r="F426" s="33"/>
      <c r="G426" s="33"/>
      <c r="H426" s="33"/>
      <c r="J426" s="28">
        <v>0</v>
      </c>
      <c r="K426" s="19"/>
    </row>
    <row r="427" spans="1:11" s="27" customFormat="1" x14ac:dyDescent="0.2"/>
    <row r="428" spans="1:11" x14ac:dyDescent="0.2">
      <c r="A428" s="37" t="s">
        <v>1963</v>
      </c>
      <c r="B428" s="37"/>
      <c r="C428" s="37"/>
      <c r="D428" s="37"/>
      <c r="E428" s="37"/>
      <c r="F428" s="37"/>
      <c r="G428" s="37"/>
      <c r="H428" s="37"/>
      <c r="I428" s="36" t="s">
        <v>1858</v>
      </c>
    </row>
    <row r="429" spans="1:11" x14ac:dyDescent="0.2">
      <c r="A429" s="35" t="s">
        <v>1962</v>
      </c>
      <c r="B429" s="35"/>
      <c r="C429" s="35"/>
      <c r="D429" s="35"/>
      <c r="E429" s="35"/>
      <c r="F429" s="35"/>
      <c r="G429" s="35"/>
      <c r="H429" s="35"/>
      <c r="I429" s="35"/>
    </row>
    <row r="430" spans="1:11" x14ac:dyDescent="0.2">
      <c r="A430" s="35"/>
      <c r="B430" s="35"/>
      <c r="C430" s="35"/>
      <c r="D430" s="35"/>
      <c r="E430" s="35"/>
      <c r="F430" s="35"/>
      <c r="G430" s="35"/>
      <c r="H430" s="35"/>
      <c r="I430" s="35"/>
    </row>
    <row r="431" spans="1:11" x14ac:dyDescent="0.2">
      <c r="A431" s="35"/>
      <c r="B431" s="35"/>
      <c r="C431" s="35"/>
      <c r="D431" s="35"/>
      <c r="E431" s="35"/>
      <c r="F431" s="35"/>
      <c r="G431" s="35"/>
      <c r="H431" s="35"/>
      <c r="I431" s="35"/>
    </row>
    <row r="432" spans="1:11" x14ac:dyDescent="0.2">
      <c r="A432" s="35"/>
      <c r="B432" s="35"/>
      <c r="C432" s="35"/>
      <c r="D432" s="35"/>
      <c r="E432" s="35"/>
      <c r="F432" s="35"/>
      <c r="G432" s="35"/>
      <c r="H432" s="35"/>
      <c r="I432" s="35"/>
    </row>
    <row r="433" spans="1:11" ht="16" x14ac:dyDescent="0.2">
      <c r="A433" s="34" t="s">
        <v>0</v>
      </c>
      <c r="B433" s="33" t="s">
        <v>1251</v>
      </c>
      <c r="C433" s="33"/>
      <c r="D433" s="33"/>
      <c r="E433" s="33"/>
      <c r="F433" s="33"/>
      <c r="G433" s="33"/>
      <c r="H433" s="33"/>
      <c r="J433" s="28">
        <f>IF(ISNUMBER(SEARCH("x",I433)),-0.5,0)</f>
        <v>0</v>
      </c>
      <c r="K433" s="19">
        <f>MAX(SUM(J433:J437),0)</f>
        <v>0</v>
      </c>
    </row>
    <row r="434" spans="1:11" ht="16" x14ac:dyDescent="0.2">
      <c r="A434" s="34" t="s">
        <v>1</v>
      </c>
      <c r="B434" s="33" t="s">
        <v>809</v>
      </c>
      <c r="C434" s="33"/>
      <c r="D434" s="33"/>
      <c r="E434" s="33"/>
      <c r="F434" s="33"/>
      <c r="G434" s="33"/>
      <c r="H434" s="33"/>
      <c r="J434" s="28">
        <f>IF(ISNUMBER(SEARCH("x",I434)),-0.5,0)</f>
        <v>0</v>
      </c>
      <c r="K434" s="19"/>
    </row>
    <row r="435" spans="1:11" ht="16" x14ac:dyDescent="0.2">
      <c r="A435" s="34" t="s">
        <v>2</v>
      </c>
      <c r="B435" s="33" t="s">
        <v>1961</v>
      </c>
      <c r="C435" s="33"/>
      <c r="D435" s="33"/>
      <c r="E435" s="33"/>
      <c r="F435" s="33"/>
      <c r="G435" s="33"/>
      <c r="H435" s="33"/>
      <c r="J435" s="28">
        <f>IF(ISNUMBER(SEARCH("x",I435)),0.5,0)</f>
        <v>0</v>
      </c>
      <c r="K435" s="19"/>
    </row>
    <row r="436" spans="1:11" ht="16" x14ac:dyDescent="0.2">
      <c r="A436" s="34" t="s">
        <v>3</v>
      </c>
      <c r="B436" s="33" t="s">
        <v>1960</v>
      </c>
      <c r="C436" s="33"/>
      <c r="D436" s="33"/>
      <c r="E436" s="33"/>
      <c r="F436" s="33"/>
      <c r="G436" s="33"/>
      <c r="H436" s="33"/>
      <c r="J436" s="28">
        <f>IF(ISNUMBER(SEARCH("x",I436)),-0.5,0)</f>
        <v>0</v>
      </c>
      <c r="K436" s="19"/>
    </row>
    <row r="437" spans="1:11" ht="16" x14ac:dyDescent="0.2">
      <c r="A437" s="34" t="s">
        <v>6</v>
      </c>
      <c r="B437" s="33" t="s">
        <v>1959</v>
      </c>
      <c r="C437" s="33"/>
      <c r="D437" s="33"/>
      <c r="E437" s="33"/>
      <c r="F437" s="33"/>
      <c r="G437" s="33"/>
      <c r="H437" s="33"/>
      <c r="J437" s="28">
        <f>IF(ISNUMBER(SEARCH("x",I437)),0.5,0)</f>
        <v>0</v>
      </c>
      <c r="K437" s="19"/>
    </row>
    <row r="438" spans="1:11" s="27" customFormat="1" x14ac:dyDescent="0.2"/>
    <row r="439" spans="1:11" x14ac:dyDescent="0.2">
      <c r="A439" s="37" t="s">
        <v>1958</v>
      </c>
      <c r="B439" s="37"/>
      <c r="C439" s="37"/>
      <c r="D439" s="37"/>
      <c r="E439" s="37"/>
      <c r="F439" s="37"/>
      <c r="G439" s="37"/>
      <c r="H439" s="37"/>
      <c r="I439" s="36" t="s">
        <v>1858</v>
      </c>
    </row>
    <row r="440" spans="1:11" x14ac:dyDescent="0.2">
      <c r="A440" s="35" t="s">
        <v>1957</v>
      </c>
      <c r="B440" s="35"/>
      <c r="C440" s="35"/>
      <c r="D440" s="35"/>
      <c r="E440" s="35"/>
      <c r="F440" s="35"/>
      <c r="G440" s="35"/>
      <c r="H440" s="35"/>
      <c r="I440" s="35"/>
    </row>
    <row r="441" spans="1:11" x14ac:dyDescent="0.2">
      <c r="A441" s="35"/>
      <c r="B441" s="35"/>
      <c r="C441" s="35"/>
      <c r="D441" s="35"/>
      <c r="E441" s="35"/>
      <c r="F441" s="35"/>
      <c r="G441" s="35"/>
      <c r="H441" s="35"/>
      <c r="I441" s="35"/>
    </row>
    <row r="442" spans="1:11" x14ac:dyDescent="0.2">
      <c r="A442" s="35"/>
      <c r="B442" s="35"/>
      <c r="C442" s="35"/>
      <c r="D442" s="35"/>
      <c r="E442" s="35"/>
      <c r="F442" s="35"/>
      <c r="G442" s="35"/>
      <c r="H442" s="35"/>
      <c r="I442" s="35"/>
    </row>
    <row r="443" spans="1:11" x14ac:dyDescent="0.2">
      <c r="A443" s="35"/>
      <c r="B443" s="35"/>
      <c r="C443" s="35"/>
      <c r="D443" s="35"/>
      <c r="E443" s="35"/>
      <c r="F443" s="35"/>
      <c r="G443" s="35"/>
      <c r="H443" s="35"/>
      <c r="I443" s="35"/>
    </row>
    <row r="444" spans="1:11" ht="16" x14ac:dyDescent="0.2">
      <c r="A444" s="34" t="s">
        <v>0</v>
      </c>
      <c r="B444" s="33" t="s">
        <v>5</v>
      </c>
      <c r="C444" s="33"/>
      <c r="D444" s="33"/>
      <c r="E444" s="33"/>
      <c r="F444" s="33"/>
      <c r="G444" s="33"/>
      <c r="H444" s="33"/>
      <c r="J444" s="28">
        <v>0</v>
      </c>
      <c r="K444" s="19">
        <f>SUM(J444:J447)</f>
        <v>0</v>
      </c>
    </row>
    <row r="445" spans="1:11" ht="16" x14ac:dyDescent="0.2">
      <c r="A445" s="34" t="s">
        <v>1</v>
      </c>
      <c r="B445" s="33" t="s">
        <v>1680</v>
      </c>
      <c r="C445" s="33"/>
      <c r="D445" s="33"/>
      <c r="E445" s="33"/>
      <c r="F445" s="33"/>
      <c r="G445" s="33"/>
      <c r="H445" s="33"/>
      <c r="J445" s="28">
        <f>IF(ISNUMBER(SEARCH("x",I445)),1,0)</f>
        <v>0</v>
      </c>
      <c r="K445" s="19"/>
    </row>
    <row r="446" spans="1:11" ht="16" x14ac:dyDescent="0.2">
      <c r="A446" s="34" t="s">
        <v>2</v>
      </c>
      <c r="B446" s="33" t="s">
        <v>1956</v>
      </c>
      <c r="C446" s="33"/>
      <c r="D446" s="33"/>
      <c r="E446" s="33"/>
      <c r="F446" s="33"/>
      <c r="G446" s="33"/>
      <c r="H446" s="33"/>
      <c r="J446" s="38">
        <v>0</v>
      </c>
      <c r="K446" s="19"/>
    </row>
    <row r="447" spans="1:11" ht="16" x14ac:dyDescent="0.2">
      <c r="A447" s="34" t="s">
        <v>3</v>
      </c>
      <c r="B447" s="33" t="s">
        <v>1208</v>
      </c>
      <c r="C447" s="33"/>
      <c r="D447" s="33"/>
      <c r="E447" s="33"/>
      <c r="F447" s="33"/>
      <c r="G447" s="33"/>
      <c r="H447" s="33"/>
      <c r="J447" s="28">
        <v>0</v>
      </c>
      <c r="K447" s="19"/>
    </row>
    <row r="448" spans="1:11" s="27" customFormat="1" x14ac:dyDescent="0.2"/>
    <row r="449" spans="1:11" x14ac:dyDescent="0.2">
      <c r="A449" s="37" t="s">
        <v>1955</v>
      </c>
      <c r="B449" s="37"/>
      <c r="C449" s="37"/>
      <c r="D449" s="37"/>
      <c r="E449" s="37"/>
      <c r="F449" s="37"/>
      <c r="G449" s="37"/>
      <c r="H449" s="37"/>
      <c r="I449" s="36" t="s">
        <v>1858</v>
      </c>
    </row>
    <row r="450" spans="1:11" x14ac:dyDescent="0.2">
      <c r="A450" s="35" t="s">
        <v>1954</v>
      </c>
      <c r="B450" s="35"/>
      <c r="C450" s="35"/>
      <c r="D450" s="35"/>
      <c r="E450" s="35"/>
      <c r="F450" s="35"/>
      <c r="G450" s="35"/>
      <c r="H450" s="35"/>
      <c r="I450" s="35"/>
    </row>
    <row r="451" spans="1:11" x14ac:dyDescent="0.2">
      <c r="A451" s="35"/>
      <c r="B451" s="35"/>
      <c r="C451" s="35"/>
      <c r="D451" s="35"/>
      <c r="E451" s="35"/>
      <c r="F451" s="35"/>
      <c r="G451" s="35"/>
      <c r="H451" s="35"/>
      <c r="I451" s="35"/>
    </row>
    <row r="452" spans="1:11" x14ac:dyDescent="0.2">
      <c r="A452" s="35"/>
      <c r="B452" s="35"/>
      <c r="C452" s="35"/>
      <c r="D452" s="35"/>
      <c r="E452" s="35"/>
      <c r="F452" s="35"/>
      <c r="G452" s="35"/>
      <c r="H452" s="35"/>
      <c r="I452" s="35"/>
    </row>
    <row r="453" spans="1:11" x14ac:dyDescent="0.2">
      <c r="A453" s="35"/>
      <c r="B453" s="35"/>
      <c r="C453" s="35"/>
      <c r="D453" s="35"/>
      <c r="E453" s="35"/>
      <c r="F453" s="35"/>
      <c r="G453" s="35"/>
      <c r="H453" s="35"/>
      <c r="I453" s="35"/>
    </row>
    <row r="454" spans="1:11" ht="16" x14ac:dyDescent="0.2">
      <c r="A454" s="34" t="s">
        <v>0</v>
      </c>
      <c r="B454" s="33" t="s">
        <v>1953</v>
      </c>
      <c r="C454" s="33"/>
      <c r="D454" s="33"/>
      <c r="E454" s="33"/>
      <c r="F454" s="33"/>
      <c r="G454" s="33"/>
      <c r="H454" s="33"/>
      <c r="J454" s="28">
        <v>0</v>
      </c>
      <c r="K454" s="19">
        <f>SUM(J454:J457)</f>
        <v>0</v>
      </c>
    </row>
    <row r="455" spans="1:11" ht="16" x14ac:dyDescent="0.2">
      <c r="A455" s="34" t="s">
        <v>1</v>
      </c>
      <c r="B455" s="33" t="s">
        <v>1952</v>
      </c>
      <c r="C455" s="33"/>
      <c r="D455" s="33"/>
      <c r="E455" s="33"/>
      <c r="F455" s="33"/>
      <c r="G455" s="33"/>
      <c r="H455" s="33"/>
      <c r="J455" s="28">
        <v>0</v>
      </c>
      <c r="K455" s="19"/>
    </row>
    <row r="456" spans="1:11" ht="16" x14ac:dyDescent="0.2">
      <c r="A456" s="34" t="s">
        <v>2</v>
      </c>
      <c r="B456" s="33" t="s">
        <v>1951</v>
      </c>
      <c r="C456" s="33"/>
      <c r="D456" s="33"/>
      <c r="E456" s="33"/>
      <c r="F456" s="33"/>
      <c r="G456" s="33"/>
      <c r="H456" s="33"/>
      <c r="J456" s="28">
        <v>0</v>
      </c>
      <c r="K456" s="19"/>
    </row>
    <row r="457" spans="1:11" ht="16" x14ac:dyDescent="0.2">
      <c r="A457" s="34" t="s">
        <v>3</v>
      </c>
      <c r="B457" s="33" t="s">
        <v>1950</v>
      </c>
      <c r="C457" s="33"/>
      <c r="D457" s="33"/>
      <c r="E457" s="33"/>
      <c r="F457" s="33"/>
      <c r="G457" s="33"/>
      <c r="H457" s="33"/>
      <c r="J457" s="28">
        <f>IF(ISNUMBER(SEARCH("x",I457)),1,0)</f>
        <v>0</v>
      </c>
      <c r="K457" s="19"/>
    </row>
    <row r="458" spans="1:11" s="27" customFormat="1" x14ac:dyDescent="0.2"/>
    <row r="459" spans="1:11" x14ac:dyDescent="0.2">
      <c r="A459" s="37" t="s">
        <v>1949</v>
      </c>
      <c r="B459" s="37"/>
      <c r="C459" s="37"/>
      <c r="D459" s="37"/>
      <c r="E459" s="37"/>
      <c r="F459" s="37"/>
      <c r="G459" s="37"/>
      <c r="H459" s="37"/>
      <c r="I459" s="36" t="s">
        <v>1858</v>
      </c>
    </row>
    <row r="460" spans="1:11" x14ac:dyDescent="0.2">
      <c r="A460" s="35" t="s">
        <v>1948</v>
      </c>
      <c r="B460" s="35"/>
      <c r="C460" s="35"/>
      <c r="D460" s="35"/>
      <c r="E460" s="35"/>
      <c r="F460" s="35"/>
      <c r="G460" s="35"/>
      <c r="H460" s="35"/>
      <c r="I460" s="35"/>
    </row>
    <row r="461" spans="1:11" x14ac:dyDescent="0.2">
      <c r="A461" s="35"/>
      <c r="B461" s="35"/>
      <c r="C461" s="35"/>
      <c r="D461" s="35"/>
      <c r="E461" s="35"/>
      <c r="F461" s="35"/>
      <c r="G461" s="35"/>
      <c r="H461" s="35"/>
      <c r="I461" s="35"/>
    </row>
    <row r="462" spans="1:11" x14ac:dyDescent="0.2">
      <c r="A462" s="35"/>
      <c r="B462" s="35"/>
      <c r="C462" s="35"/>
      <c r="D462" s="35"/>
      <c r="E462" s="35"/>
      <c r="F462" s="35"/>
      <c r="G462" s="35"/>
      <c r="H462" s="35"/>
      <c r="I462" s="35"/>
    </row>
    <row r="463" spans="1:11" x14ac:dyDescent="0.2">
      <c r="A463" s="35"/>
      <c r="B463" s="35"/>
      <c r="C463" s="35"/>
      <c r="D463" s="35"/>
      <c r="E463" s="35"/>
      <c r="F463" s="35"/>
      <c r="G463" s="35"/>
      <c r="H463" s="35"/>
      <c r="I463" s="35"/>
    </row>
    <row r="464" spans="1:11" ht="16" x14ac:dyDescent="0.2">
      <c r="A464" s="34" t="s">
        <v>0</v>
      </c>
      <c r="B464" s="33" t="s">
        <v>1208</v>
      </c>
      <c r="C464" s="33"/>
      <c r="D464" s="33"/>
      <c r="E464" s="33"/>
      <c r="F464" s="33"/>
      <c r="G464" s="33"/>
      <c r="H464" s="33"/>
      <c r="J464" s="28">
        <v>0</v>
      </c>
      <c r="K464" s="19">
        <f>SUM(J464:J467)</f>
        <v>0</v>
      </c>
    </row>
    <row r="465" spans="1:11" ht="16" x14ac:dyDescent="0.2">
      <c r="A465" s="34" t="s">
        <v>1</v>
      </c>
      <c r="B465" s="33" t="s">
        <v>1360</v>
      </c>
      <c r="C465" s="33"/>
      <c r="D465" s="33"/>
      <c r="E465" s="33"/>
      <c r="F465" s="33"/>
      <c r="G465" s="33"/>
      <c r="H465" s="33"/>
      <c r="J465" s="28">
        <f>IF(ISNUMBER(SEARCH("x",I465)),1,0)</f>
        <v>0</v>
      </c>
      <c r="K465" s="19"/>
    </row>
    <row r="466" spans="1:11" ht="16" x14ac:dyDescent="0.2">
      <c r="A466" s="34" t="s">
        <v>2</v>
      </c>
      <c r="B466" s="33" t="s">
        <v>1947</v>
      </c>
      <c r="C466" s="33"/>
      <c r="D466" s="33"/>
      <c r="E466" s="33"/>
      <c r="F466" s="33"/>
      <c r="G466" s="33"/>
      <c r="H466" s="33"/>
      <c r="J466" s="38">
        <v>0</v>
      </c>
      <c r="K466" s="19"/>
    </row>
    <row r="467" spans="1:11" ht="16" x14ac:dyDescent="0.2">
      <c r="A467" s="34" t="s">
        <v>3</v>
      </c>
      <c r="B467" s="33" t="s">
        <v>1455</v>
      </c>
      <c r="C467" s="33"/>
      <c r="D467" s="33"/>
      <c r="E467" s="33"/>
      <c r="F467" s="33"/>
      <c r="G467" s="33"/>
      <c r="H467" s="33"/>
      <c r="J467" s="28">
        <v>0</v>
      </c>
      <c r="K467" s="19"/>
    </row>
    <row r="468" spans="1:11" s="27" customFormat="1" x14ac:dyDescent="0.2"/>
    <row r="469" spans="1:11" x14ac:dyDescent="0.2">
      <c r="A469" s="37" t="s">
        <v>1946</v>
      </c>
      <c r="B469" s="37"/>
      <c r="C469" s="37"/>
      <c r="D469" s="37"/>
      <c r="E469" s="37"/>
      <c r="F469" s="37"/>
      <c r="G469" s="37"/>
      <c r="H469" s="37"/>
      <c r="I469" s="36" t="s">
        <v>1858</v>
      </c>
    </row>
    <row r="470" spans="1:11" x14ac:dyDescent="0.2">
      <c r="A470" s="35" t="s">
        <v>1945</v>
      </c>
      <c r="B470" s="35"/>
      <c r="C470" s="35"/>
      <c r="D470" s="35"/>
      <c r="E470" s="35"/>
      <c r="F470" s="35"/>
      <c r="G470" s="35"/>
      <c r="H470" s="35"/>
      <c r="I470" s="35"/>
    </row>
    <row r="471" spans="1:11" x14ac:dyDescent="0.2">
      <c r="A471" s="35"/>
      <c r="B471" s="35"/>
      <c r="C471" s="35"/>
      <c r="D471" s="35"/>
      <c r="E471" s="35"/>
      <c r="F471" s="35"/>
      <c r="G471" s="35"/>
      <c r="H471" s="35"/>
      <c r="I471" s="35"/>
    </row>
    <row r="472" spans="1:11" x14ac:dyDescent="0.2">
      <c r="A472" s="35"/>
      <c r="B472" s="35"/>
      <c r="C472" s="35"/>
      <c r="D472" s="35"/>
      <c r="E472" s="35"/>
      <c r="F472" s="35"/>
      <c r="G472" s="35"/>
      <c r="H472" s="35"/>
      <c r="I472" s="35"/>
    </row>
    <row r="473" spans="1:11" x14ac:dyDescent="0.2">
      <c r="A473" s="35"/>
      <c r="B473" s="35"/>
      <c r="C473" s="35"/>
      <c r="D473" s="35"/>
      <c r="E473" s="35"/>
      <c r="F473" s="35"/>
      <c r="G473" s="35"/>
      <c r="H473" s="35"/>
      <c r="I473" s="35"/>
    </row>
    <row r="474" spans="1:11" ht="16" x14ac:dyDescent="0.2">
      <c r="A474" s="34" t="s">
        <v>0</v>
      </c>
      <c r="B474" s="33" t="s">
        <v>1944</v>
      </c>
      <c r="C474" s="33"/>
      <c r="D474" s="33"/>
      <c r="E474" s="33"/>
      <c r="F474" s="33"/>
      <c r="G474" s="33"/>
      <c r="H474" s="33"/>
      <c r="J474" s="28">
        <f>IF(ISNUMBER(SEARCH("x",I474)),1,0)</f>
        <v>0</v>
      </c>
      <c r="K474" s="19">
        <f>SUM(J474:J477)</f>
        <v>0</v>
      </c>
    </row>
    <row r="475" spans="1:11" ht="16" x14ac:dyDescent="0.2">
      <c r="A475" s="34" t="s">
        <v>1</v>
      </c>
      <c r="B475" s="33" t="s">
        <v>1943</v>
      </c>
      <c r="C475" s="33"/>
      <c r="D475" s="33"/>
      <c r="E475" s="33"/>
      <c r="F475" s="33"/>
      <c r="G475" s="33"/>
      <c r="H475" s="33"/>
      <c r="J475" s="38">
        <v>0</v>
      </c>
      <c r="K475" s="19"/>
    </row>
    <row r="476" spans="1:11" ht="16" x14ac:dyDescent="0.2">
      <c r="A476" s="34" t="s">
        <v>2</v>
      </c>
      <c r="B476" s="33" t="s">
        <v>1942</v>
      </c>
      <c r="C476" s="33"/>
      <c r="D476" s="33"/>
      <c r="E476" s="33"/>
      <c r="F476" s="33"/>
      <c r="G476" s="33"/>
      <c r="H476" s="33"/>
      <c r="J476" s="38">
        <v>0</v>
      </c>
      <c r="K476" s="19"/>
    </row>
    <row r="477" spans="1:11" ht="16" x14ac:dyDescent="0.2">
      <c r="A477" s="34" t="s">
        <v>3</v>
      </c>
      <c r="B477" s="33" t="s">
        <v>1941</v>
      </c>
      <c r="C477" s="33"/>
      <c r="D477" s="33"/>
      <c r="E477" s="33"/>
      <c r="F477" s="33"/>
      <c r="G477" s="33"/>
      <c r="H477" s="33"/>
      <c r="J477" s="38">
        <v>0</v>
      </c>
      <c r="K477" s="19"/>
    </row>
    <row r="478" spans="1:11" s="27" customFormat="1" x14ac:dyDescent="0.2"/>
    <row r="479" spans="1:11" x14ac:dyDescent="0.2">
      <c r="A479" s="37" t="s">
        <v>1940</v>
      </c>
      <c r="B479" s="37"/>
      <c r="C479" s="37"/>
      <c r="D479" s="37"/>
      <c r="E479" s="37"/>
      <c r="F479" s="37"/>
      <c r="G479" s="37"/>
      <c r="H479" s="37"/>
      <c r="I479" s="36" t="s">
        <v>1858</v>
      </c>
    </row>
    <row r="480" spans="1:11" x14ac:dyDescent="0.2">
      <c r="A480" s="35" t="s">
        <v>1939</v>
      </c>
      <c r="B480" s="35"/>
      <c r="C480" s="35"/>
      <c r="D480" s="35"/>
      <c r="E480" s="35"/>
      <c r="F480" s="35"/>
      <c r="G480" s="35"/>
      <c r="H480" s="35"/>
      <c r="I480" s="35"/>
    </row>
    <row r="481" spans="1:11" x14ac:dyDescent="0.2">
      <c r="A481" s="35"/>
      <c r="B481" s="35"/>
      <c r="C481" s="35"/>
      <c r="D481" s="35"/>
      <c r="E481" s="35"/>
      <c r="F481" s="35"/>
      <c r="G481" s="35"/>
      <c r="H481" s="35"/>
      <c r="I481" s="35"/>
    </row>
    <row r="482" spans="1:11" x14ac:dyDescent="0.2">
      <c r="A482" s="35"/>
      <c r="B482" s="35"/>
      <c r="C482" s="35"/>
      <c r="D482" s="35"/>
      <c r="E482" s="35"/>
      <c r="F482" s="35"/>
      <c r="G482" s="35"/>
      <c r="H482" s="35"/>
      <c r="I482" s="35"/>
    </row>
    <row r="483" spans="1:11" x14ac:dyDescent="0.2">
      <c r="A483" s="35"/>
      <c r="B483" s="35"/>
      <c r="C483" s="35"/>
      <c r="D483" s="35"/>
      <c r="E483" s="35"/>
      <c r="F483" s="35"/>
      <c r="G483" s="35"/>
      <c r="H483" s="35"/>
      <c r="I483" s="35"/>
    </row>
    <row r="484" spans="1:11" ht="16" x14ac:dyDescent="0.2">
      <c r="A484" s="34" t="s">
        <v>0</v>
      </c>
      <c r="B484" s="33" t="s">
        <v>1938</v>
      </c>
      <c r="C484" s="33"/>
      <c r="D484" s="33"/>
      <c r="E484" s="33"/>
      <c r="F484" s="33"/>
      <c r="G484" s="33"/>
      <c r="H484" s="33"/>
      <c r="J484" s="28">
        <v>0</v>
      </c>
      <c r="K484" s="19">
        <f>SUM(J484:J487)</f>
        <v>0</v>
      </c>
    </row>
    <row r="485" spans="1:11" ht="16" x14ac:dyDescent="0.2">
      <c r="A485" s="34" t="s">
        <v>1</v>
      </c>
      <c r="B485" s="33" t="s">
        <v>1388</v>
      </c>
      <c r="C485" s="33"/>
      <c r="D485" s="33"/>
      <c r="E485" s="33"/>
      <c r="F485" s="33"/>
      <c r="G485" s="33"/>
      <c r="H485" s="33"/>
      <c r="J485" s="28">
        <v>0</v>
      </c>
      <c r="K485" s="19"/>
    </row>
    <row r="486" spans="1:11" ht="16" x14ac:dyDescent="0.2">
      <c r="A486" s="34" t="s">
        <v>2</v>
      </c>
      <c r="B486" s="33" t="s">
        <v>14</v>
      </c>
      <c r="C486" s="33"/>
      <c r="D486" s="33"/>
      <c r="E486" s="33"/>
      <c r="F486" s="33"/>
      <c r="G486" s="33"/>
      <c r="H486" s="33"/>
      <c r="J486" s="28">
        <f>IF(ISNUMBER(SEARCH("x",I486)),1,0)</f>
        <v>0</v>
      </c>
      <c r="K486" s="19"/>
    </row>
    <row r="487" spans="1:11" ht="16" x14ac:dyDescent="0.2">
      <c r="A487" s="34" t="s">
        <v>3</v>
      </c>
      <c r="B487" s="33" t="s">
        <v>760</v>
      </c>
      <c r="C487" s="33"/>
      <c r="D487" s="33"/>
      <c r="E487" s="33"/>
      <c r="F487" s="33"/>
      <c r="G487" s="33"/>
      <c r="H487" s="33"/>
      <c r="J487" s="28">
        <v>0</v>
      </c>
      <c r="K487" s="19"/>
    </row>
    <row r="488" spans="1:11" s="27" customFormat="1" x14ac:dyDescent="0.2"/>
    <row r="489" spans="1:11" x14ac:dyDescent="0.2">
      <c r="A489" s="37" t="s">
        <v>1937</v>
      </c>
      <c r="B489" s="37"/>
      <c r="C489" s="37"/>
      <c r="D489" s="37"/>
      <c r="E489" s="37"/>
      <c r="F489" s="37"/>
      <c r="G489" s="37"/>
      <c r="H489" s="37"/>
      <c r="I489" s="36" t="s">
        <v>1858</v>
      </c>
    </row>
    <row r="490" spans="1:11" x14ac:dyDescent="0.2">
      <c r="A490" s="35" t="s">
        <v>1936</v>
      </c>
      <c r="B490" s="35"/>
      <c r="C490" s="35"/>
      <c r="D490" s="35"/>
      <c r="E490" s="35"/>
      <c r="F490" s="35"/>
      <c r="G490" s="35"/>
      <c r="H490" s="35"/>
      <c r="I490" s="35"/>
    </row>
    <row r="491" spans="1:11" x14ac:dyDescent="0.2">
      <c r="A491" s="35"/>
      <c r="B491" s="35"/>
      <c r="C491" s="35"/>
      <c r="D491" s="35"/>
      <c r="E491" s="35"/>
      <c r="F491" s="35"/>
      <c r="G491" s="35"/>
      <c r="H491" s="35"/>
      <c r="I491" s="35"/>
    </row>
    <row r="492" spans="1:11" x14ac:dyDescent="0.2">
      <c r="A492" s="35"/>
      <c r="B492" s="35"/>
      <c r="C492" s="35"/>
      <c r="D492" s="35"/>
      <c r="E492" s="35"/>
      <c r="F492" s="35"/>
      <c r="G492" s="35"/>
      <c r="H492" s="35"/>
      <c r="I492" s="35"/>
    </row>
    <row r="493" spans="1:11" x14ac:dyDescent="0.2">
      <c r="A493" s="35"/>
      <c r="B493" s="35"/>
      <c r="C493" s="35"/>
      <c r="D493" s="35"/>
      <c r="E493" s="35"/>
      <c r="F493" s="35"/>
      <c r="G493" s="35"/>
      <c r="H493" s="35"/>
      <c r="I493" s="35"/>
    </row>
    <row r="494" spans="1:11" ht="16" x14ac:dyDescent="0.2">
      <c r="A494" s="34" t="s">
        <v>0</v>
      </c>
      <c r="B494" s="33" t="s">
        <v>1935</v>
      </c>
      <c r="C494" s="33"/>
      <c r="D494" s="33"/>
      <c r="E494" s="33"/>
      <c r="F494" s="33"/>
      <c r="G494" s="33"/>
      <c r="H494" s="33"/>
      <c r="J494" s="28">
        <f>IF(ISNUMBER(SEARCH("x",I494)),-0.5,0)</f>
        <v>0</v>
      </c>
      <c r="K494" s="19">
        <f>MAX(SUM(J494:J498),0)</f>
        <v>0</v>
      </c>
    </row>
    <row r="495" spans="1:11" ht="16" x14ac:dyDescent="0.2">
      <c r="A495" s="34" t="s">
        <v>1</v>
      </c>
      <c r="B495" s="33" t="s">
        <v>1934</v>
      </c>
      <c r="C495" s="33"/>
      <c r="D495" s="33"/>
      <c r="E495" s="33"/>
      <c r="F495" s="33"/>
      <c r="G495" s="33"/>
      <c r="H495" s="33"/>
      <c r="J495" s="28">
        <f>IF(ISNUMBER(SEARCH("x",I495)),-0.5,0)</f>
        <v>0</v>
      </c>
      <c r="K495" s="19"/>
    </row>
    <row r="496" spans="1:11" ht="16" x14ac:dyDescent="0.2">
      <c r="A496" s="34" t="s">
        <v>2</v>
      </c>
      <c r="B496" s="33" t="s">
        <v>1119</v>
      </c>
      <c r="C496" s="33"/>
      <c r="D496" s="33"/>
      <c r="E496" s="33"/>
      <c r="F496" s="33"/>
      <c r="G496" s="33"/>
      <c r="H496" s="33"/>
      <c r="J496" s="28">
        <f>IF(ISNUMBER(SEARCH("x",I496)),0.5,0)</f>
        <v>0</v>
      </c>
      <c r="K496" s="19"/>
    </row>
    <row r="497" spans="1:11" ht="16" x14ac:dyDescent="0.2">
      <c r="A497" s="34" t="s">
        <v>3</v>
      </c>
      <c r="B497" s="33" t="s">
        <v>1933</v>
      </c>
      <c r="C497" s="33"/>
      <c r="D497" s="33"/>
      <c r="E497" s="33"/>
      <c r="F497" s="33"/>
      <c r="G497" s="33"/>
      <c r="H497" s="33"/>
      <c r="J497" s="28">
        <f>IF(ISNUMBER(SEARCH("x",I497)),-0.5,0)</f>
        <v>0</v>
      </c>
      <c r="K497" s="19"/>
    </row>
    <row r="498" spans="1:11" ht="16" x14ac:dyDescent="0.2">
      <c r="A498" s="34" t="s">
        <v>6</v>
      </c>
      <c r="B498" s="33" t="s">
        <v>511</v>
      </c>
      <c r="C498" s="33"/>
      <c r="D498" s="33"/>
      <c r="E498" s="33"/>
      <c r="F498" s="33"/>
      <c r="G498" s="33"/>
      <c r="H498" s="33"/>
      <c r="J498" s="28">
        <f>IF(ISNUMBER(SEARCH("x",I498)),0.5,0)</f>
        <v>0</v>
      </c>
      <c r="K498" s="19"/>
    </row>
    <row r="499" spans="1:11" s="27" customFormat="1" x14ac:dyDescent="0.2"/>
    <row r="500" spans="1:11" x14ac:dyDescent="0.2">
      <c r="A500" s="37" t="s">
        <v>1932</v>
      </c>
      <c r="B500" s="37"/>
      <c r="C500" s="37"/>
      <c r="D500" s="37"/>
      <c r="E500" s="37"/>
      <c r="F500" s="37"/>
      <c r="G500" s="37"/>
      <c r="H500" s="37"/>
      <c r="I500" s="36" t="s">
        <v>1858</v>
      </c>
    </row>
    <row r="501" spans="1:11" x14ac:dyDescent="0.2">
      <c r="A501" s="35" t="s">
        <v>1931</v>
      </c>
      <c r="B501" s="35"/>
      <c r="C501" s="35"/>
      <c r="D501" s="35"/>
      <c r="E501" s="35"/>
      <c r="F501" s="35"/>
      <c r="G501" s="35"/>
      <c r="H501" s="35"/>
      <c r="I501" s="35"/>
    </row>
    <row r="502" spans="1:11" x14ac:dyDescent="0.2">
      <c r="A502" s="35"/>
      <c r="B502" s="35"/>
      <c r="C502" s="35"/>
      <c r="D502" s="35"/>
      <c r="E502" s="35"/>
      <c r="F502" s="35"/>
      <c r="G502" s="35"/>
      <c r="H502" s="35"/>
      <c r="I502" s="35"/>
    </row>
    <row r="503" spans="1:11" x14ac:dyDescent="0.2">
      <c r="A503" s="35"/>
      <c r="B503" s="35"/>
      <c r="C503" s="35"/>
      <c r="D503" s="35"/>
      <c r="E503" s="35"/>
      <c r="F503" s="35"/>
      <c r="G503" s="35"/>
      <c r="H503" s="35"/>
      <c r="I503" s="35"/>
    </row>
    <row r="504" spans="1:11" x14ac:dyDescent="0.2">
      <c r="A504" s="35"/>
      <c r="B504" s="35"/>
      <c r="C504" s="35"/>
      <c r="D504" s="35"/>
      <c r="E504" s="35"/>
      <c r="F504" s="35"/>
      <c r="G504" s="35"/>
      <c r="H504" s="35"/>
      <c r="I504" s="35"/>
    </row>
    <row r="505" spans="1:11" ht="16" x14ac:dyDescent="0.2">
      <c r="A505" s="34" t="s">
        <v>0</v>
      </c>
      <c r="B505" s="33" t="s">
        <v>1930</v>
      </c>
      <c r="C505" s="33"/>
      <c r="D505" s="33"/>
      <c r="E505" s="33"/>
      <c r="F505" s="33"/>
      <c r="G505" s="33"/>
      <c r="H505" s="33"/>
      <c r="J505" s="28">
        <f>IF(ISNUMBER(SEARCH("x",I505)),-0.5,0)</f>
        <v>0</v>
      </c>
      <c r="K505" s="19">
        <f>MAX(SUM(J505:J509),0)</f>
        <v>0</v>
      </c>
    </row>
    <row r="506" spans="1:11" ht="28.75" customHeight="1" x14ac:dyDescent="0.2">
      <c r="A506" s="34" t="s">
        <v>1</v>
      </c>
      <c r="B506" s="33" t="s">
        <v>1929</v>
      </c>
      <c r="C506" s="33"/>
      <c r="D506" s="33"/>
      <c r="E506" s="33"/>
      <c r="F506" s="33"/>
      <c r="G506" s="33"/>
      <c r="H506" s="33"/>
      <c r="J506" s="28">
        <f>IF(ISNUMBER(SEARCH("x",I506)),0.5,0)</f>
        <v>0</v>
      </c>
      <c r="K506" s="19"/>
    </row>
    <row r="507" spans="1:11" ht="16" x14ac:dyDescent="0.2">
      <c r="A507" s="34" t="s">
        <v>2</v>
      </c>
      <c r="B507" s="33" t="s">
        <v>1928</v>
      </c>
      <c r="C507" s="33"/>
      <c r="D507" s="33"/>
      <c r="E507" s="33"/>
      <c r="F507" s="33"/>
      <c r="G507" s="33"/>
      <c r="H507" s="33"/>
      <c r="J507" s="28">
        <f>IF(ISNUMBER(SEARCH("x",I507)),-0.5,0)</f>
        <v>0</v>
      </c>
      <c r="K507" s="19"/>
    </row>
    <row r="508" spans="1:11" ht="16" x14ac:dyDescent="0.2">
      <c r="A508" s="34" t="s">
        <v>3</v>
      </c>
      <c r="B508" s="33" t="s">
        <v>1927</v>
      </c>
      <c r="C508" s="33"/>
      <c r="D508" s="33"/>
      <c r="E508" s="33"/>
      <c r="F508" s="33"/>
      <c r="G508" s="33"/>
      <c r="H508" s="33"/>
      <c r="J508" s="28">
        <f>IF(ISNUMBER(SEARCH("x",I508)),-0.5,0)</f>
        <v>0</v>
      </c>
      <c r="K508" s="19"/>
    </row>
    <row r="509" spans="1:11" ht="16" x14ac:dyDescent="0.2">
      <c r="A509" s="34" t="s">
        <v>6</v>
      </c>
      <c r="B509" s="33" t="s">
        <v>1926</v>
      </c>
      <c r="C509" s="33"/>
      <c r="D509" s="33"/>
      <c r="E509" s="33"/>
      <c r="F509" s="33"/>
      <c r="G509" s="33"/>
      <c r="H509" s="33"/>
      <c r="J509" s="28">
        <f>IF(ISNUMBER(SEARCH("x",I509)),0.5,0)</f>
        <v>0</v>
      </c>
      <c r="K509" s="19"/>
    </row>
    <row r="510" spans="1:11" s="27" customFormat="1" x14ac:dyDescent="0.2"/>
    <row r="511" spans="1:11" x14ac:dyDescent="0.2">
      <c r="A511" s="37" t="s">
        <v>1925</v>
      </c>
      <c r="B511" s="37"/>
      <c r="C511" s="37"/>
      <c r="D511" s="37"/>
      <c r="E511" s="37"/>
      <c r="F511" s="37"/>
      <c r="G511" s="37"/>
      <c r="H511" s="37"/>
      <c r="I511" s="36" t="s">
        <v>1858</v>
      </c>
    </row>
    <row r="512" spans="1:11" x14ac:dyDescent="0.2">
      <c r="A512" s="35" t="s">
        <v>1924</v>
      </c>
      <c r="B512" s="35"/>
      <c r="C512" s="35"/>
      <c r="D512" s="35"/>
      <c r="E512" s="35"/>
      <c r="F512" s="35"/>
      <c r="G512" s="35"/>
      <c r="H512" s="35"/>
      <c r="I512" s="35"/>
    </row>
    <row r="513" spans="1:11" x14ac:dyDescent="0.2">
      <c r="A513" s="35"/>
      <c r="B513" s="35"/>
      <c r="C513" s="35"/>
      <c r="D513" s="35"/>
      <c r="E513" s="35"/>
      <c r="F513" s="35"/>
      <c r="G513" s="35"/>
      <c r="H513" s="35"/>
      <c r="I513" s="35"/>
    </row>
    <row r="514" spans="1:11" x14ac:dyDescent="0.2">
      <c r="A514" s="35"/>
      <c r="B514" s="35"/>
      <c r="C514" s="35"/>
      <c r="D514" s="35"/>
      <c r="E514" s="35"/>
      <c r="F514" s="35"/>
      <c r="G514" s="35"/>
      <c r="H514" s="35"/>
      <c r="I514" s="35"/>
    </row>
    <row r="515" spans="1:11" x14ac:dyDescent="0.2">
      <c r="A515" s="35"/>
      <c r="B515" s="35"/>
      <c r="C515" s="35"/>
      <c r="D515" s="35"/>
      <c r="E515" s="35"/>
      <c r="F515" s="35"/>
      <c r="G515" s="35"/>
      <c r="H515" s="35"/>
      <c r="I515" s="35"/>
    </row>
    <row r="516" spans="1:11" ht="16" x14ac:dyDescent="0.2">
      <c r="A516" s="34" t="s">
        <v>0</v>
      </c>
      <c r="B516" s="33" t="s">
        <v>1923</v>
      </c>
      <c r="C516" s="33"/>
      <c r="D516" s="33"/>
      <c r="E516" s="33"/>
      <c r="F516" s="33"/>
      <c r="G516" s="33"/>
      <c r="H516" s="33"/>
      <c r="J516" s="28">
        <f>IF(ISNUMBER(SEARCH("x",I516)),1,0)</f>
        <v>0</v>
      </c>
      <c r="K516" s="19">
        <f>SUM(J516:J519)</f>
        <v>0</v>
      </c>
    </row>
    <row r="517" spans="1:11" ht="16" x14ac:dyDescent="0.2">
      <c r="A517" s="34" t="s">
        <v>1</v>
      </c>
      <c r="B517" s="33" t="s">
        <v>1922</v>
      </c>
      <c r="C517" s="33"/>
      <c r="D517" s="33"/>
      <c r="E517" s="33"/>
      <c r="F517" s="33"/>
      <c r="G517" s="33"/>
      <c r="H517" s="33"/>
      <c r="J517" s="38">
        <v>0</v>
      </c>
      <c r="K517" s="19"/>
    </row>
    <row r="518" spans="1:11" ht="16" x14ac:dyDescent="0.2">
      <c r="A518" s="34" t="s">
        <v>2</v>
      </c>
      <c r="B518" s="33" t="s">
        <v>98</v>
      </c>
      <c r="C518" s="33"/>
      <c r="D518" s="33"/>
      <c r="E518" s="33"/>
      <c r="F518" s="33"/>
      <c r="G518" s="33"/>
      <c r="H518" s="33"/>
      <c r="J518" s="38">
        <v>0</v>
      </c>
      <c r="K518" s="19"/>
    </row>
    <row r="519" spans="1:11" ht="16" x14ac:dyDescent="0.2">
      <c r="A519" s="34" t="s">
        <v>3</v>
      </c>
      <c r="B519" s="33" t="s">
        <v>496</v>
      </c>
      <c r="C519" s="33"/>
      <c r="D519" s="33"/>
      <c r="E519" s="33"/>
      <c r="F519" s="33"/>
      <c r="G519" s="33"/>
      <c r="H519" s="33"/>
      <c r="J519" s="38">
        <v>0</v>
      </c>
      <c r="K519" s="19"/>
    </row>
    <row r="520" spans="1:11" s="27" customFormat="1" x14ac:dyDescent="0.2"/>
    <row r="521" spans="1:11" x14ac:dyDescent="0.2">
      <c r="A521" s="37" t="s">
        <v>1921</v>
      </c>
      <c r="B521" s="37"/>
      <c r="C521" s="37"/>
      <c r="D521" s="37"/>
      <c r="E521" s="37"/>
      <c r="F521" s="37"/>
      <c r="G521" s="37"/>
      <c r="H521" s="37"/>
      <c r="I521" s="36" t="s">
        <v>1858</v>
      </c>
    </row>
    <row r="522" spans="1:11" x14ac:dyDescent="0.2">
      <c r="A522" s="35" t="s">
        <v>1920</v>
      </c>
      <c r="B522" s="35"/>
      <c r="C522" s="35"/>
      <c r="D522" s="35"/>
      <c r="E522" s="35"/>
      <c r="F522" s="35"/>
      <c r="G522" s="35"/>
      <c r="H522" s="35"/>
      <c r="I522" s="35"/>
    </row>
    <row r="523" spans="1:11" x14ac:dyDescent="0.2">
      <c r="A523" s="35"/>
      <c r="B523" s="35"/>
      <c r="C523" s="35"/>
      <c r="D523" s="35"/>
      <c r="E523" s="35"/>
      <c r="F523" s="35"/>
      <c r="G523" s="35"/>
      <c r="H523" s="35"/>
      <c r="I523" s="35"/>
    </row>
    <row r="524" spans="1:11" x14ac:dyDescent="0.2">
      <c r="A524" s="35"/>
      <c r="B524" s="35"/>
      <c r="C524" s="35"/>
      <c r="D524" s="35"/>
      <c r="E524" s="35"/>
      <c r="F524" s="35"/>
      <c r="G524" s="35"/>
      <c r="H524" s="35"/>
      <c r="I524" s="35"/>
    </row>
    <row r="525" spans="1:11" x14ac:dyDescent="0.2">
      <c r="A525" s="35"/>
      <c r="B525" s="35"/>
      <c r="C525" s="35"/>
      <c r="D525" s="35"/>
      <c r="E525" s="35"/>
      <c r="F525" s="35"/>
      <c r="G525" s="35"/>
      <c r="H525" s="35"/>
      <c r="I525" s="35"/>
    </row>
    <row r="526" spans="1:11" ht="28.75" customHeight="1" x14ac:dyDescent="0.2">
      <c r="A526" s="34" t="s">
        <v>0</v>
      </c>
      <c r="B526" s="33" t="s">
        <v>1919</v>
      </c>
      <c r="C526" s="33"/>
      <c r="D526" s="33"/>
      <c r="E526" s="33"/>
      <c r="F526" s="33"/>
      <c r="G526" s="33"/>
      <c r="H526" s="33"/>
      <c r="J526" s="28">
        <v>0</v>
      </c>
      <c r="K526" s="19">
        <f>SUM(J526:J529)</f>
        <v>0</v>
      </c>
    </row>
    <row r="527" spans="1:11" ht="16" x14ac:dyDescent="0.2">
      <c r="A527" s="34" t="s">
        <v>1</v>
      </c>
      <c r="B527" s="33" t="s">
        <v>1918</v>
      </c>
      <c r="C527" s="33"/>
      <c r="D527" s="33"/>
      <c r="E527" s="33"/>
      <c r="F527" s="33"/>
      <c r="G527" s="33"/>
      <c r="H527" s="33"/>
      <c r="J527" s="28">
        <v>0</v>
      </c>
      <c r="K527" s="19"/>
    </row>
    <row r="528" spans="1:11" ht="28.75" customHeight="1" x14ac:dyDescent="0.2">
      <c r="A528" s="34" t="s">
        <v>2</v>
      </c>
      <c r="B528" s="33" t="s">
        <v>1917</v>
      </c>
      <c r="C528" s="33"/>
      <c r="D528" s="33"/>
      <c r="E528" s="33"/>
      <c r="F528" s="33"/>
      <c r="G528" s="33"/>
      <c r="H528" s="33"/>
      <c r="J528" s="28">
        <f>IF(ISNUMBER(SEARCH("x",I528)),1,0)</f>
        <v>0</v>
      </c>
      <c r="K528" s="19"/>
    </row>
    <row r="529" spans="1:11" ht="28.75" customHeight="1" x14ac:dyDescent="0.2">
      <c r="A529" s="34" t="s">
        <v>3</v>
      </c>
      <c r="B529" s="33" t="s">
        <v>1916</v>
      </c>
      <c r="C529" s="33"/>
      <c r="D529" s="33"/>
      <c r="E529" s="33"/>
      <c r="F529" s="33"/>
      <c r="G529" s="33"/>
      <c r="H529" s="33"/>
      <c r="J529" s="28">
        <v>0</v>
      </c>
      <c r="K529" s="19"/>
    </row>
    <row r="530" spans="1:11" s="27" customFormat="1" x14ac:dyDescent="0.2"/>
    <row r="531" spans="1:11" x14ac:dyDescent="0.2">
      <c r="A531" s="37" t="s">
        <v>1915</v>
      </c>
      <c r="B531" s="37"/>
      <c r="C531" s="37"/>
      <c r="D531" s="37"/>
      <c r="E531" s="37"/>
      <c r="F531" s="37"/>
      <c r="G531" s="37"/>
      <c r="H531" s="37"/>
      <c r="I531" s="36" t="s">
        <v>1858</v>
      </c>
    </row>
    <row r="532" spans="1:11" x14ac:dyDescent="0.2">
      <c r="A532" s="35" t="s">
        <v>1914</v>
      </c>
      <c r="B532" s="35"/>
      <c r="C532" s="35"/>
      <c r="D532" s="35"/>
      <c r="E532" s="35"/>
      <c r="F532" s="35"/>
      <c r="G532" s="35"/>
      <c r="H532" s="35"/>
      <c r="I532" s="35"/>
    </row>
    <row r="533" spans="1:11" x14ac:dyDescent="0.2">
      <c r="A533" s="35"/>
      <c r="B533" s="35"/>
      <c r="C533" s="35"/>
      <c r="D533" s="35"/>
      <c r="E533" s="35"/>
      <c r="F533" s="35"/>
      <c r="G533" s="35"/>
      <c r="H533" s="35"/>
      <c r="I533" s="35"/>
    </row>
    <row r="534" spans="1:11" x14ac:dyDescent="0.2">
      <c r="A534" s="35"/>
      <c r="B534" s="35"/>
      <c r="C534" s="35"/>
      <c r="D534" s="35"/>
      <c r="E534" s="35"/>
      <c r="F534" s="35"/>
      <c r="G534" s="35"/>
      <c r="H534" s="35"/>
      <c r="I534" s="35"/>
    </row>
    <row r="535" spans="1:11" x14ac:dyDescent="0.2">
      <c r="A535" s="35"/>
      <c r="B535" s="35"/>
      <c r="C535" s="35"/>
      <c r="D535" s="35"/>
      <c r="E535" s="35"/>
      <c r="F535" s="35"/>
      <c r="G535" s="35"/>
      <c r="H535" s="35"/>
      <c r="I535" s="35"/>
    </row>
    <row r="536" spans="1:11" ht="16" x14ac:dyDescent="0.2">
      <c r="A536" s="34" t="s">
        <v>0</v>
      </c>
      <c r="B536" s="33" t="s">
        <v>1913</v>
      </c>
      <c r="C536" s="33"/>
      <c r="D536" s="33"/>
      <c r="E536" s="33"/>
      <c r="F536" s="33"/>
      <c r="G536" s="33"/>
      <c r="H536" s="33"/>
      <c r="J536" s="28">
        <v>0</v>
      </c>
      <c r="K536" s="19">
        <f>SUM(J536:J539)</f>
        <v>0</v>
      </c>
    </row>
    <row r="537" spans="1:11" ht="16" x14ac:dyDescent="0.2">
      <c r="A537" s="34" t="s">
        <v>1</v>
      </c>
      <c r="B537" s="33" t="s">
        <v>1912</v>
      </c>
      <c r="C537" s="33"/>
      <c r="D537" s="33"/>
      <c r="E537" s="33"/>
      <c r="F537" s="33"/>
      <c r="G537" s="33"/>
      <c r="H537" s="33"/>
      <c r="J537" s="28">
        <f>IF(ISNUMBER(SEARCH("x",I537)),1,0)</f>
        <v>0</v>
      </c>
      <c r="K537" s="19"/>
    </row>
    <row r="538" spans="1:11" ht="16" x14ac:dyDescent="0.2">
      <c r="A538" s="34" t="s">
        <v>2</v>
      </c>
      <c r="B538" s="33" t="s">
        <v>782</v>
      </c>
      <c r="C538" s="33"/>
      <c r="D538" s="33"/>
      <c r="E538" s="33"/>
      <c r="F538" s="33"/>
      <c r="G538" s="33"/>
      <c r="H538" s="33"/>
      <c r="J538" s="38">
        <v>0</v>
      </c>
      <c r="K538" s="19"/>
    </row>
    <row r="539" spans="1:11" ht="16" x14ac:dyDescent="0.2">
      <c r="A539" s="34" t="s">
        <v>3</v>
      </c>
      <c r="B539" s="33" t="s">
        <v>674</v>
      </c>
      <c r="C539" s="33"/>
      <c r="D539" s="33"/>
      <c r="E539" s="33"/>
      <c r="F539" s="33"/>
      <c r="G539" s="33"/>
      <c r="H539" s="33"/>
      <c r="J539" s="28">
        <v>0</v>
      </c>
      <c r="K539" s="19"/>
    </row>
    <row r="540" spans="1:11" s="27" customFormat="1" x14ac:dyDescent="0.2"/>
    <row r="541" spans="1:11" x14ac:dyDescent="0.2">
      <c r="A541" s="37" t="s">
        <v>1911</v>
      </c>
      <c r="B541" s="37"/>
      <c r="C541" s="37"/>
      <c r="D541" s="37"/>
      <c r="E541" s="37"/>
      <c r="F541" s="37"/>
      <c r="G541" s="37"/>
      <c r="H541" s="37"/>
      <c r="I541" s="36" t="s">
        <v>1858</v>
      </c>
    </row>
    <row r="542" spans="1:11" x14ac:dyDescent="0.2">
      <c r="A542" s="35" t="s">
        <v>1910</v>
      </c>
      <c r="B542" s="35"/>
      <c r="C542" s="35"/>
      <c r="D542" s="35"/>
      <c r="E542" s="35"/>
      <c r="F542" s="35"/>
      <c r="G542" s="35"/>
      <c r="H542" s="35"/>
      <c r="I542" s="35"/>
    </row>
    <row r="543" spans="1:11" x14ac:dyDescent="0.2">
      <c r="A543" s="35"/>
      <c r="B543" s="35"/>
      <c r="C543" s="35"/>
      <c r="D543" s="35"/>
      <c r="E543" s="35"/>
      <c r="F543" s="35"/>
      <c r="G543" s="35"/>
      <c r="H543" s="35"/>
      <c r="I543" s="35"/>
    </row>
    <row r="544" spans="1:11" x14ac:dyDescent="0.2">
      <c r="A544" s="35"/>
      <c r="B544" s="35"/>
      <c r="C544" s="35"/>
      <c r="D544" s="35"/>
      <c r="E544" s="35"/>
      <c r="F544" s="35"/>
      <c r="G544" s="35"/>
      <c r="H544" s="35"/>
      <c r="I544" s="35"/>
    </row>
    <row r="545" spans="1:11" x14ac:dyDescent="0.2">
      <c r="A545" s="35"/>
      <c r="B545" s="35"/>
      <c r="C545" s="35"/>
      <c r="D545" s="35"/>
      <c r="E545" s="35"/>
      <c r="F545" s="35"/>
      <c r="G545" s="35"/>
      <c r="H545" s="35"/>
      <c r="I545" s="35"/>
    </row>
    <row r="546" spans="1:11" ht="16" x14ac:dyDescent="0.2">
      <c r="A546" s="34" t="s">
        <v>0</v>
      </c>
      <c r="B546" s="33" t="s">
        <v>1909</v>
      </c>
      <c r="C546" s="33"/>
      <c r="D546" s="33"/>
      <c r="E546" s="33"/>
      <c r="F546" s="33"/>
      <c r="G546" s="33"/>
      <c r="H546" s="33"/>
      <c r="J546" s="28">
        <v>0</v>
      </c>
      <c r="K546" s="19">
        <f>SUM(J546:J549)</f>
        <v>0</v>
      </c>
    </row>
    <row r="547" spans="1:11" ht="16" x14ac:dyDescent="0.2">
      <c r="A547" s="34" t="s">
        <v>1</v>
      </c>
      <c r="B547" s="33" t="s">
        <v>1908</v>
      </c>
      <c r="C547" s="33"/>
      <c r="D547" s="33"/>
      <c r="E547" s="33"/>
      <c r="F547" s="33"/>
      <c r="G547" s="33"/>
      <c r="H547" s="33"/>
      <c r="J547" s="28">
        <f>IF(ISNUMBER(SEARCH("x",I547)),1,0)</f>
        <v>0</v>
      </c>
      <c r="K547" s="19"/>
    </row>
    <row r="548" spans="1:11" ht="16" x14ac:dyDescent="0.2">
      <c r="A548" s="34" t="s">
        <v>2</v>
      </c>
      <c r="B548" s="33" t="s">
        <v>1455</v>
      </c>
      <c r="C548" s="33"/>
      <c r="D548" s="33"/>
      <c r="E548" s="33"/>
      <c r="F548" s="33"/>
      <c r="G548" s="33"/>
      <c r="H548" s="33"/>
      <c r="J548" s="38">
        <v>0</v>
      </c>
      <c r="K548" s="19"/>
    </row>
    <row r="549" spans="1:11" ht="16" x14ac:dyDescent="0.2">
      <c r="A549" s="34" t="s">
        <v>3</v>
      </c>
      <c r="B549" s="33" t="s">
        <v>1907</v>
      </c>
      <c r="C549" s="33"/>
      <c r="D549" s="33"/>
      <c r="E549" s="33"/>
      <c r="F549" s="33"/>
      <c r="G549" s="33"/>
      <c r="H549" s="33"/>
      <c r="J549" s="28">
        <v>0</v>
      </c>
      <c r="K549" s="19"/>
    </row>
    <row r="550" spans="1:11" s="27" customFormat="1" x14ac:dyDescent="0.2"/>
    <row r="551" spans="1:11" x14ac:dyDescent="0.2">
      <c r="A551" s="37" t="s">
        <v>1906</v>
      </c>
      <c r="B551" s="37"/>
      <c r="C551" s="37"/>
      <c r="D551" s="37"/>
      <c r="E551" s="37"/>
      <c r="F551" s="37"/>
      <c r="G551" s="37"/>
      <c r="H551" s="37"/>
      <c r="I551" s="36" t="s">
        <v>1858</v>
      </c>
    </row>
    <row r="552" spans="1:11" x14ac:dyDescent="0.2">
      <c r="A552" s="35" t="s">
        <v>1905</v>
      </c>
      <c r="B552" s="35"/>
      <c r="C552" s="35"/>
      <c r="D552" s="35"/>
      <c r="E552" s="35"/>
      <c r="F552" s="35"/>
      <c r="G552" s="35"/>
      <c r="H552" s="35"/>
      <c r="I552" s="35"/>
    </row>
    <row r="553" spans="1:11" x14ac:dyDescent="0.2">
      <c r="A553" s="35"/>
      <c r="B553" s="35"/>
      <c r="C553" s="35"/>
      <c r="D553" s="35"/>
      <c r="E553" s="35"/>
      <c r="F553" s="35"/>
      <c r="G553" s="35"/>
      <c r="H553" s="35"/>
      <c r="I553" s="35"/>
    </row>
    <row r="554" spans="1:11" x14ac:dyDescent="0.2">
      <c r="A554" s="35"/>
      <c r="B554" s="35"/>
      <c r="C554" s="35"/>
      <c r="D554" s="35"/>
      <c r="E554" s="35"/>
      <c r="F554" s="35"/>
      <c r="G554" s="35"/>
      <c r="H554" s="35"/>
      <c r="I554" s="35"/>
    </row>
    <row r="555" spans="1:11" x14ac:dyDescent="0.2">
      <c r="A555" s="35"/>
      <c r="B555" s="35"/>
      <c r="C555" s="35"/>
      <c r="D555" s="35"/>
      <c r="E555" s="35"/>
      <c r="F555" s="35"/>
      <c r="G555" s="35"/>
      <c r="H555" s="35"/>
      <c r="I555" s="35"/>
    </row>
    <row r="556" spans="1:11" ht="16" x14ac:dyDescent="0.2">
      <c r="A556" s="34" t="s">
        <v>0</v>
      </c>
      <c r="B556" s="33" t="s">
        <v>1904</v>
      </c>
      <c r="C556" s="33"/>
      <c r="D556" s="33"/>
      <c r="E556" s="33"/>
      <c r="F556" s="33"/>
      <c r="G556" s="33"/>
      <c r="H556" s="33"/>
      <c r="J556" s="28">
        <v>0</v>
      </c>
      <c r="K556" s="19">
        <f>SUM(J556:J559)</f>
        <v>0</v>
      </c>
    </row>
    <row r="557" spans="1:11" ht="16" x14ac:dyDescent="0.2">
      <c r="A557" s="34" t="s">
        <v>1</v>
      </c>
      <c r="B557" s="33" t="s">
        <v>1903</v>
      </c>
      <c r="C557" s="33"/>
      <c r="D557" s="33"/>
      <c r="E557" s="33"/>
      <c r="F557" s="33"/>
      <c r="G557" s="33"/>
      <c r="H557" s="33"/>
      <c r="J557" s="28">
        <v>0</v>
      </c>
      <c r="K557" s="19"/>
    </row>
    <row r="558" spans="1:11" ht="28.75" customHeight="1" x14ac:dyDescent="0.2">
      <c r="A558" s="34" t="s">
        <v>2</v>
      </c>
      <c r="B558" s="33" t="s">
        <v>1902</v>
      </c>
      <c r="C558" s="33"/>
      <c r="D558" s="33"/>
      <c r="E558" s="33"/>
      <c r="F558" s="33"/>
      <c r="G558" s="33"/>
      <c r="H558" s="33"/>
      <c r="J558" s="28">
        <f>IF(ISNUMBER(SEARCH("x",I558)),1,0)</f>
        <v>0</v>
      </c>
      <c r="K558" s="19"/>
    </row>
    <row r="559" spans="1:11" ht="16" x14ac:dyDescent="0.2">
      <c r="A559" s="34" t="s">
        <v>3</v>
      </c>
      <c r="B559" s="33" t="s">
        <v>1901</v>
      </c>
      <c r="C559" s="33"/>
      <c r="D559" s="33"/>
      <c r="E559" s="33"/>
      <c r="F559" s="33"/>
      <c r="G559" s="33"/>
      <c r="H559" s="33"/>
      <c r="J559" s="28">
        <v>0</v>
      </c>
      <c r="K559" s="19"/>
    </row>
    <row r="560" spans="1:11" s="27" customFormat="1" x14ac:dyDescent="0.2"/>
    <row r="561" spans="1:11" x14ac:dyDescent="0.2">
      <c r="A561" s="37" t="s">
        <v>1900</v>
      </c>
      <c r="B561" s="37"/>
      <c r="C561" s="37"/>
      <c r="D561" s="37"/>
      <c r="E561" s="37"/>
      <c r="F561" s="37"/>
      <c r="G561" s="37"/>
      <c r="H561" s="37"/>
      <c r="I561" s="36" t="s">
        <v>1858</v>
      </c>
    </row>
    <row r="562" spans="1:11" x14ac:dyDescent="0.2">
      <c r="A562" s="35" t="s">
        <v>1899</v>
      </c>
      <c r="B562" s="35"/>
      <c r="C562" s="35"/>
      <c r="D562" s="35"/>
      <c r="E562" s="35"/>
      <c r="F562" s="35"/>
      <c r="G562" s="35"/>
      <c r="H562" s="35"/>
      <c r="I562" s="35"/>
    </row>
    <row r="563" spans="1:11" x14ac:dyDescent="0.2">
      <c r="A563" s="35"/>
      <c r="B563" s="35"/>
      <c r="C563" s="35"/>
      <c r="D563" s="35"/>
      <c r="E563" s="35"/>
      <c r="F563" s="35"/>
      <c r="G563" s="35"/>
      <c r="H563" s="35"/>
      <c r="I563" s="35"/>
    </row>
    <row r="564" spans="1:11" x14ac:dyDescent="0.2">
      <c r="A564" s="35"/>
      <c r="B564" s="35"/>
      <c r="C564" s="35"/>
      <c r="D564" s="35"/>
      <c r="E564" s="35"/>
      <c r="F564" s="35"/>
      <c r="G564" s="35"/>
      <c r="H564" s="35"/>
      <c r="I564" s="35"/>
    </row>
    <row r="565" spans="1:11" x14ac:dyDescent="0.2">
      <c r="A565" s="35"/>
      <c r="B565" s="35"/>
      <c r="C565" s="35"/>
      <c r="D565" s="35"/>
      <c r="E565" s="35"/>
      <c r="F565" s="35"/>
      <c r="G565" s="35"/>
      <c r="H565" s="35"/>
      <c r="I565" s="35"/>
    </row>
    <row r="566" spans="1:11" ht="16" x14ac:dyDescent="0.2">
      <c r="A566" s="34" t="s">
        <v>0</v>
      </c>
      <c r="B566" s="33" t="s">
        <v>1898</v>
      </c>
      <c r="C566" s="33"/>
      <c r="D566" s="33"/>
      <c r="E566" s="33"/>
      <c r="F566" s="33"/>
      <c r="G566" s="33"/>
      <c r="H566" s="33"/>
      <c r="J566" s="28">
        <f>IF(ISNUMBER(SEARCH("x",I566)),1,0)</f>
        <v>0</v>
      </c>
      <c r="K566" s="19">
        <f>SUM(J566:J569)</f>
        <v>0</v>
      </c>
    </row>
    <row r="567" spans="1:11" ht="16" x14ac:dyDescent="0.2">
      <c r="A567" s="34" t="s">
        <v>1</v>
      </c>
      <c r="B567" s="33" t="s">
        <v>1137</v>
      </c>
      <c r="C567" s="33"/>
      <c r="D567" s="33"/>
      <c r="E567" s="33"/>
      <c r="F567" s="33"/>
      <c r="G567" s="33"/>
      <c r="H567" s="33"/>
      <c r="J567" s="38">
        <v>0</v>
      </c>
      <c r="K567" s="19"/>
    </row>
    <row r="568" spans="1:11" ht="16" x14ac:dyDescent="0.2">
      <c r="A568" s="34" t="s">
        <v>2</v>
      </c>
      <c r="B568" s="33" t="s">
        <v>4</v>
      </c>
      <c r="C568" s="33"/>
      <c r="D568" s="33"/>
      <c r="E568" s="33"/>
      <c r="F568" s="33"/>
      <c r="G568" s="33"/>
      <c r="H568" s="33"/>
      <c r="J568" s="38">
        <v>0</v>
      </c>
      <c r="K568" s="19"/>
    </row>
    <row r="569" spans="1:11" ht="16" x14ac:dyDescent="0.2">
      <c r="A569" s="34" t="s">
        <v>3</v>
      </c>
      <c r="B569" s="33" t="s">
        <v>1888</v>
      </c>
      <c r="C569" s="33"/>
      <c r="D569" s="33"/>
      <c r="E569" s="33"/>
      <c r="F569" s="33"/>
      <c r="G569" s="33"/>
      <c r="H569" s="33"/>
      <c r="J569" s="38">
        <v>0</v>
      </c>
      <c r="K569" s="19"/>
    </row>
    <row r="570" spans="1:11" s="27" customFormat="1" x14ac:dyDescent="0.2"/>
    <row r="571" spans="1:11" x14ac:dyDescent="0.2">
      <c r="A571" s="37" t="s">
        <v>1897</v>
      </c>
      <c r="B571" s="37"/>
      <c r="C571" s="37"/>
      <c r="D571" s="37"/>
      <c r="E571" s="37"/>
      <c r="F571" s="37"/>
      <c r="G571" s="37"/>
      <c r="H571" s="37"/>
      <c r="I571" s="36" t="s">
        <v>1858</v>
      </c>
    </row>
    <row r="572" spans="1:11" x14ac:dyDescent="0.2">
      <c r="A572" s="35" t="s">
        <v>1896</v>
      </c>
      <c r="B572" s="35"/>
      <c r="C572" s="35"/>
      <c r="D572" s="35"/>
      <c r="E572" s="35"/>
      <c r="F572" s="35"/>
      <c r="G572" s="35"/>
      <c r="H572" s="35"/>
      <c r="I572" s="35"/>
    </row>
    <row r="573" spans="1:11" x14ac:dyDescent="0.2">
      <c r="A573" s="35"/>
      <c r="B573" s="35"/>
      <c r="C573" s="35"/>
      <c r="D573" s="35"/>
      <c r="E573" s="35"/>
      <c r="F573" s="35"/>
      <c r="G573" s="35"/>
      <c r="H573" s="35"/>
      <c r="I573" s="35"/>
    </row>
    <row r="574" spans="1:11" x14ac:dyDescent="0.2">
      <c r="A574" s="35"/>
      <c r="B574" s="35"/>
      <c r="C574" s="35"/>
      <c r="D574" s="35"/>
      <c r="E574" s="35"/>
      <c r="F574" s="35"/>
      <c r="G574" s="35"/>
      <c r="H574" s="35"/>
      <c r="I574" s="35"/>
    </row>
    <row r="575" spans="1:11" x14ac:dyDescent="0.2">
      <c r="A575" s="35"/>
      <c r="B575" s="35"/>
      <c r="C575" s="35"/>
      <c r="D575" s="35"/>
      <c r="E575" s="35"/>
      <c r="F575" s="35"/>
      <c r="G575" s="35"/>
      <c r="H575" s="35"/>
      <c r="I575" s="35"/>
    </row>
    <row r="576" spans="1:11" ht="28.75" customHeight="1" x14ac:dyDescent="0.2">
      <c r="A576" s="34" t="s">
        <v>0</v>
      </c>
      <c r="B576" s="33" t="s">
        <v>1895</v>
      </c>
      <c r="C576" s="33"/>
      <c r="D576" s="33"/>
      <c r="E576" s="33"/>
      <c r="F576" s="33"/>
      <c r="G576" s="33"/>
      <c r="H576" s="33"/>
      <c r="J576" s="28">
        <f>IF(ISNUMBER(SEARCH("x",I576)),0.5,0)</f>
        <v>0</v>
      </c>
      <c r="K576" s="19">
        <f>MAX(SUM(J576:J580),0)</f>
        <v>0</v>
      </c>
    </row>
    <row r="577" spans="1:11" ht="16" x14ac:dyDescent="0.2">
      <c r="A577" s="34" t="s">
        <v>1</v>
      </c>
      <c r="B577" s="33" t="s">
        <v>1894</v>
      </c>
      <c r="C577" s="33"/>
      <c r="D577" s="33"/>
      <c r="E577" s="33"/>
      <c r="F577" s="33"/>
      <c r="G577" s="33"/>
      <c r="H577" s="33"/>
      <c r="J577" s="28">
        <f>IF(ISNUMBER(SEARCH("x",I577)),0.5,0)</f>
        <v>0</v>
      </c>
      <c r="K577" s="19"/>
    </row>
    <row r="578" spans="1:11" ht="16" x14ac:dyDescent="0.2">
      <c r="A578" s="34" t="s">
        <v>2</v>
      </c>
      <c r="B578" s="33" t="s">
        <v>1893</v>
      </c>
      <c r="C578" s="33"/>
      <c r="D578" s="33"/>
      <c r="E578" s="33"/>
      <c r="F578" s="33"/>
      <c r="G578" s="33"/>
      <c r="H578" s="33"/>
      <c r="J578" s="28">
        <f>IF(ISNUMBER(SEARCH("x",I578)),-0.5,0)</f>
        <v>0</v>
      </c>
      <c r="K578" s="19"/>
    </row>
    <row r="579" spans="1:11" ht="16" x14ac:dyDescent="0.2">
      <c r="A579" s="34" t="s">
        <v>3</v>
      </c>
      <c r="B579" s="33" t="s">
        <v>1892</v>
      </c>
      <c r="C579" s="33"/>
      <c r="D579" s="33"/>
      <c r="E579" s="33"/>
      <c r="F579" s="33"/>
      <c r="G579" s="33"/>
      <c r="H579" s="33"/>
      <c r="J579" s="28">
        <f>IF(ISNUMBER(SEARCH("x",I579)),-0.5,0)</f>
        <v>0</v>
      </c>
      <c r="K579" s="19"/>
    </row>
    <row r="580" spans="1:11" ht="16" x14ac:dyDescent="0.2">
      <c r="A580" s="34" t="s">
        <v>6</v>
      </c>
      <c r="B580" s="33" t="s">
        <v>1891</v>
      </c>
      <c r="C580" s="33"/>
      <c r="D580" s="33"/>
      <c r="E580" s="33"/>
      <c r="F580" s="33"/>
      <c r="G580" s="33"/>
      <c r="H580" s="33"/>
      <c r="J580" s="28">
        <f>IF(ISNUMBER(SEARCH("x",I580)),-0.5,0)</f>
        <v>0</v>
      </c>
      <c r="K580" s="19"/>
    </row>
    <row r="581" spans="1:11" s="27" customFormat="1" x14ac:dyDescent="0.2"/>
    <row r="582" spans="1:11" x14ac:dyDescent="0.2">
      <c r="A582" s="37" t="s">
        <v>1890</v>
      </c>
      <c r="B582" s="37"/>
      <c r="C582" s="37"/>
      <c r="D582" s="37"/>
      <c r="E582" s="37"/>
      <c r="F582" s="37"/>
      <c r="G582" s="37"/>
      <c r="H582" s="37"/>
      <c r="I582" s="36" t="s">
        <v>1858</v>
      </c>
    </row>
    <row r="583" spans="1:11" x14ac:dyDescent="0.2">
      <c r="A583" s="35" t="s">
        <v>1889</v>
      </c>
      <c r="B583" s="35"/>
      <c r="C583" s="35"/>
      <c r="D583" s="35"/>
      <c r="E583" s="35"/>
      <c r="F583" s="35"/>
      <c r="G583" s="35"/>
      <c r="H583" s="35"/>
      <c r="I583" s="35"/>
    </row>
    <row r="584" spans="1:11" x14ac:dyDescent="0.2">
      <c r="A584" s="35"/>
      <c r="B584" s="35"/>
      <c r="C584" s="35"/>
      <c r="D584" s="35"/>
      <c r="E584" s="35"/>
      <c r="F584" s="35"/>
      <c r="G584" s="35"/>
      <c r="H584" s="35"/>
      <c r="I584" s="35"/>
    </row>
    <row r="585" spans="1:11" x14ac:dyDescent="0.2">
      <c r="A585" s="35"/>
      <c r="B585" s="35"/>
      <c r="C585" s="35"/>
      <c r="D585" s="35"/>
      <c r="E585" s="35"/>
      <c r="F585" s="35"/>
      <c r="G585" s="35"/>
      <c r="H585" s="35"/>
      <c r="I585" s="35"/>
    </row>
    <row r="586" spans="1:11" x14ac:dyDescent="0.2">
      <c r="A586" s="35"/>
      <c r="B586" s="35"/>
      <c r="C586" s="35"/>
      <c r="D586" s="35"/>
      <c r="E586" s="35"/>
      <c r="F586" s="35"/>
      <c r="G586" s="35"/>
      <c r="H586" s="35"/>
      <c r="I586" s="35"/>
    </row>
    <row r="587" spans="1:11" ht="16" x14ac:dyDescent="0.2">
      <c r="A587" s="34" t="s">
        <v>0</v>
      </c>
      <c r="B587" s="33" t="s">
        <v>1094</v>
      </c>
      <c r="C587" s="33"/>
      <c r="D587" s="33"/>
      <c r="E587" s="33"/>
      <c r="F587" s="33"/>
      <c r="G587" s="33"/>
      <c r="H587" s="33"/>
      <c r="J587" s="28">
        <v>0</v>
      </c>
      <c r="K587" s="19">
        <f>SUM(J587:J590)</f>
        <v>0</v>
      </c>
    </row>
    <row r="588" spans="1:11" ht="16" x14ac:dyDescent="0.2">
      <c r="A588" s="34" t="s">
        <v>1</v>
      </c>
      <c r="B588" s="33" t="s">
        <v>1139</v>
      </c>
      <c r="C588" s="33"/>
      <c r="D588" s="33"/>
      <c r="E588" s="33"/>
      <c r="F588" s="33"/>
      <c r="G588" s="33"/>
      <c r="H588" s="33"/>
      <c r="J588" s="28">
        <v>0</v>
      </c>
      <c r="K588" s="19"/>
    </row>
    <row r="589" spans="1:11" ht="16" x14ac:dyDescent="0.2">
      <c r="A589" s="34" t="s">
        <v>2</v>
      </c>
      <c r="B589" s="33" t="s">
        <v>1888</v>
      </c>
      <c r="C589" s="33"/>
      <c r="D589" s="33"/>
      <c r="E589" s="33"/>
      <c r="F589" s="33"/>
      <c r="G589" s="33"/>
      <c r="H589" s="33"/>
      <c r="J589" s="28">
        <v>0</v>
      </c>
      <c r="K589" s="19"/>
    </row>
    <row r="590" spans="1:11" ht="16" x14ac:dyDescent="0.2">
      <c r="A590" s="34" t="s">
        <v>3</v>
      </c>
      <c r="B590" s="33" t="s">
        <v>1137</v>
      </c>
      <c r="C590" s="33"/>
      <c r="D590" s="33"/>
      <c r="E590" s="33"/>
      <c r="F590" s="33"/>
      <c r="G590" s="33"/>
      <c r="H590" s="33"/>
      <c r="J590" s="28">
        <f>IF(ISNUMBER(SEARCH("x",I590)),1,0)</f>
        <v>0</v>
      </c>
      <c r="K590" s="19"/>
    </row>
    <row r="591" spans="1:11" s="27" customFormat="1" x14ac:dyDescent="0.2"/>
    <row r="592" spans="1:11" x14ac:dyDescent="0.2">
      <c r="A592" s="37" t="s">
        <v>1887</v>
      </c>
      <c r="B592" s="37"/>
      <c r="C592" s="37"/>
      <c r="D592" s="37"/>
      <c r="E592" s="37"/>
      <c r="F592" s="37"/>
      <c r="G592" s="37"/>
      <c r="H592" s="37"/>
      <c r="I592" s="36" t="s">
        <v>1858</v>
      </c>
    </row>
    <row r="593" spans="1:11" x14ac:dyDescent="0.2">
      <c r="A593" s="35" t="s">
        <v>1886</v>
      </c>
      <c r="B593" s="35"/>
      <c r="C593" s="35"/>
      <c r="D593" s="35"/>
      <c r="E593" s="35"/>
      <c r="F593" s="35"/>
      <c r="G593" s="35"/>
      <c r="H593" s="35"/>
      <c r="I593" s="35"/>
    </row>
    <row r="594" spans="1:11" x14ac:dyDescent="0.2">
      <c r="A594" s="35"/>
      <c r="B594" s="35"/>
      <c r="C594" s="35"/>
      <c r="D594" s="35"/>
      <c r="E594" s="35"/>
      <c r="F594" s="35"/>
      <c r="G594" s="35"/>
      <c r="H594" s="35"/>
      <c r="I594" s="35"/>
    </row>
    <row r="595" spans="1:11" x14ac:dyDescent="0.2">
      <c r="A595" s="35"/>
      <c r="B595" s="35"/>
      <c r="C595" s="35"/>
      <c r="D595" s="35"/>
      <c r="E595" s="35"/>
      <c r="F595" s="35"/>
      <c r="G595" s="35"/>
      <c r="H595" s="35"/>
      <c r="I595" s="35"/>
    </row>
    <row r="596" spans="1:11" x14ac:dyDescent="0.2">
      <c r="A596" s="35"/>
      <c r="B596" s="35"/>
      <c r="C596" s="35"/>
      <c r="D596" s="35"/>
      <c r="E596" s="35"/>
      <c r="F596" s="35"/>
      <c r="G596" s="35"/>
      <c r="H596" s="35"/>
      <c r="I596" s="35"/>
    </row>
    <row r="597" spans="1:11" ht="16" x14ac:dyDescent="0.2">
      <c r="A597" s="34" t="s">
        <v>0</v>
      </c>
      <c r="B597" s="33" t="s">
        <v>1885</v>
      </c>
      <c r="C597" s="33"/>
      <c r="D597" s="33"/>
      <c r="E597" s="33"/>
      <c r="F597" s="33"/>
      <c r="G597" s="33"/>
      <c r="H597" s="33"/>
      <c r="J597" s="28">
        <v>0</v>
      </c>
      <c r="K597" s="19">
        <f>SUM(J597:J600)</f>
        <v>0</v>
      </c>
    </row>
    <row r="598" spans="1:11" ht="16" x14ac:dyDescent="0.2">
      <c r="A598" s="34" t="s">
        <v>1</v>
      </c>
      <c r="B598" s="33" t="s">
        <v>19</v>
      </c>
      <c r="C598" s="33"/>
      <c r="D598" s="33"/>
      <c r="E598" s="33"/>
      <c r="F598" s="33"/>
      <c r="G598" s="33"/>
      <c r="H598" s="33"/>
      <c r="J598" s="28">
        <f>IF(ISNUMBER(SEARCH("x",I598)),1,0)</f>
        <v>0</v>
      </c>
      <c r="K598" s="19"/>
    </row>
    <row r="599" spans="1:11" ht="16" x14ac:dyDescent="0.2">
      <c r="A599" s="34" t="s">
        <v>2</v>
      </c>
      <c r="B599" s="33" t="s">
        <v>1823</v>
      </c>
      <c r="C599" s="33"/>
      <c r="D599" s="33"/>
      <c r="E599" s="33"/>
      <c r="F599" s="33"/>
      <c r="G599" s="33"/>
      <c r="H599" s="33"/>
      <c r="J599" s="38">
        <v>0</v>
      </c>
      <c r="K599" s="19"/>
    </row>
    <row r="600" spans="1:11" ht="16" x14ac:dyDescent="0.2">
      <c r="A600" s="34" t="s">
        <v>3</v>
      </c>
      <c r="B600" s="33" t="s">
        <v>20</v>
      </c>
      <c r="C600" s="33"/>
      <c r="D600" s="33"/>
      <c r="E600" s="33"/>
      <c r="F600" s="33"/>
      <c r="G600" s="33"/>
      <c r="H600" s="33"/>
      <c r="J600" s="28">
        <v>0</v>
      </c>
      <c r="K600" s="19"/>
    </row>
    <row r="601" spans="1:11" s="27" customFormat="1" x14ac:dyDescent="0.2"/>
    <row r="602" spans="1:11" x14ac:dyDescent="0.2">
      <c r="A602" s="37" t="s">
        <v>1884</v>
      </c>
      <c r="B602" s="37"/>
      <c r="C602" s="37"/>
      <c r="D602" s="37"/>
      <c r="E602" s="37"/>
      <c r="F602" s="37"/>
      <c r="G602" s="37"/>
      <c r="H602" s="37"/>
      <c r="I602" s="36" t="s">
        <v>1858</v>
      </c>
    </row>
    <row r="603" spans="1:11" x14ac:dyDescent="0.2">
      <c r="A603" s="35" t="s">
        <v>1883</v>
      </c>
      <c r="B603" s="35"/>
      <c r="C603" s="35"/>
      <c r="D603" s="35"/>
      <c r="E603" s="35"/>
      <c r="F603" s="35"/>
      <c r="G603" s="35"/>
      <c r="H603" s="35"/>
      <c r="I603" s="35"/>
    </row>
    <row r="604" spans="1:11" x14ac:dyDescent="0.2">
      <c r="A604" s="35"/>
      <c r="B604" s="35"/>
      <c r="C604" s="35"/>
      <c r="D604" s="35"/>
      <c r="E604" s="35"/>
      <c r="F604" s="35"/>
      <c r="G604" s="35"/>
      <c r="H604" s="35"/>
      <c r="I604" s="35"/>
    </row>
    <row r="605" spans="1:11" x14ac:dyDescent="0.2">
      <c r="A605" s="35"/>
      <c r="B605" s="35"/>
      <c r="C605" s="35"/>
      <c r="D605" s="35"/>
      <c r="E605" s="35"/>
      <c r="F605" s="35"/>
      <c r="G605" s="35"/>
      <c r="H605" s="35"/>
      <c r="I605" s="35"/>
    </row>
    <row r="606" spans="1:11" x14ac:dyDescent="0.2">
      <c r="A606" s="35"/>
      <c r="B606" s="35"/>
      <c r="C606" s="35"/>
      <c r="D606" s="35"/>
      <c r="E606" s="35"/>
      <c r="F606" s="35"/>
      <c r="G606" s="35"/>
      <c r="H606" s="35"/>
      <c r="I606" s="35"/>
    </row>
    <row r="607" spans="1:11" ht="16" x14ac:dyDescent="0.2">
      <c r="A607" s="34" t="s">
        <v>0</v>
      </c>
      <c r="B607" s="33" t="s">
        <v>1882</v>
      </c>
      <c r="C607" s="33"/>
      <c r="D607" s="33"/>
      <c r="E607" s="33"/>
      <c r="F607" s="33"/>
      <c r="G607" s="33"/>
      <c r="H607" s="33"/>
      <c r="J607" s="28">
        <v>0</v>
      </c>
      <c r="K607" s="19">
        <f>SUM(J607:J610)</f>
        <v>0</v>
      </c>
    </row>
    <row r="608" spans="1:11" ht="16" x14ac:dyDescent="0.2">
      <c r="A608" s="34" t="s">
        <v>1</v>
      </c>
      <c r="B608" s="33" t="s">
        <v>1881</v>
      </c>
      <c r="C608" s="33"/>
      <c r="D608" s="33"/>
      <c r="E608" s="33"/>
      <c r="F608" s="33"/>
      <c r="G608" s="33"/>
      <c r="H608" s="33"/>
      <c r="J608" s="28">
        <v>0</v>
      </c>
      <c r="K608" s="19"/>
    </row>
    <row r="609" spans="1:11" ht="16" x14ac:dyDescent="0.2">
      <c r="A609" s="34" t="s">
        <v>2</v>
      </c>
      <c r="B609" s="33" t="s">
        <v>1880</v>
      </c>
      <c r="C609" s="33"/>
      <c r="D609" s="33"/>
      <c r="E609" s="33"/>
      <c r="F609" s="33"/>
      <c r="G609" s="33"/>
      <c r="H609" s="33"/>
      <c r="J609" s="28">
        <f>IF(ISNUMBER(SEARCH("x",I609)),1,0)</f>
        <v>0</v>
      </c>
      <c r="K609" s="19"/>
    </row>
    <row r="610" spans="1:11" ht="16" x14ac:dyDescent="0.2">
      <c r="A610" s="34" t="s">
        <v>3</v>
      </c>
      <c r="B610" s="33" t="s">
        <v>1879</v>
      </c>
      <c r="C610" s="33"/>
      <c r="D610" s="33"/>
      <c r="E610" s="33"/>
      <c r="F610" s="33"/>
      <c r="G610" s="33"/>
      <c r="H610" s="33"/>
      <c r="J610" s="28">
        <v>0</v>
      </c>
      <c r="K610" s="19"/>
    </row>
    <row r="611" spans="1:11" s="27" customFormat="1" x14ac:dyDescent="0.2"/>
    <row r="612" spans="1:11" x14ac:dyDescent="0.2">
      <c r="A612" s="37" t="s">
        <v>1878</v>
      </c>
      <c r="B612" s="37"/>
      <c r="C612" s="37"/>
      <c r="D612" s="37"/>
      <c r="E612" s="37"/>
      <c r="F612" s="37"/>
      <c r="G612" s="37"/>
      <c r="H612" s="37"/>
      <c r="I612" s="36" t="s">
        <v>1858</v>
      </c>
    </row>
    <row r="613" spans="1:11" x14ac:dyDescent="0.2">
      <c r="A613" s="35" t="s">
        <v>1877</v>
      </c>
      <c r="B613" s="35"/>
      <c r="C613" s="35"/>
      <c r="D613" s="35"/>
      <c r="E613" s="35"/>
      <c r="F613" s="35"/>
      <c r="G613" s="35"/>
      <c r="H613" s="35"/>
      <c r="I613" s="35"/>
    </row>
    <row r="614" spans="1:11" x14ac:dyDescent="0.2">
      <c r="A614" s="35"/>
      <c r="B614" s="35"/>
      <c r="C614" s="35"/>
      <c r="D614" s="35"/>
      <c r="E614" s="35"/>
      <c r="F614" s="35"/>
      <c r="G614" s="35"/>
      <c r="H614" s="35"/>
      <c r="I614" s="35"/>
    </row>
    <row r="615" spans="1:11" x14ac:dyDescent="0.2">
      <c r="A615" s="35"/>
      <c r="B615" s="35"/>
      <c r="C615" s="35"/>
      <c r="D615" s="35"/>
      <c r="E615" s="35"/>
      <c r="F615" s="35"/>
      <c r="G615" s="35"/>
      <c r="H615" s="35"/>
      <c r="I615" s="35"/>
    </row>
    <row r="616" spans="1:11" x14ac:dyDescent="0.2">
      <c r="A616" s="35"/>
      <c r="B616" s="35"/>
      <c r="C616" s="35"/>
      <c r="D616" s="35"/>
      <c r="E616" s="35"/>
      <c r="F616" s="35"/>
      <c r="G616" s="35"/>
      <c r="H616" s="35"/>
      <c r="I616" s="35"/>
    </row>
    <row r="617" spans="1:11" ht="16" x14ac:dyDescent="0.2">
      <c r="A617" s="34" t="s">
        <v>0</v>
      </c>
      <c r="B617" s="33" t="s">
        <v>1170</v>
      </c>
      <c r="C617" s="33"/>
      <c r="D617" s="33"/>
      <c r="E617" s="33"/>
      <c r="F617" s="33"/>
      <c r="G617" s="33"/>
      <c r="H617" s="33"/>
      <c r="J617" s="28">
        <f>IF(ISNUMBER(SEARCH("x",I617)),-0.5,0)</f>
        <v>0</v>
      </c>
      <c r="K617" s="19">
        <f>MAX(SUM(J617:J621),0)</f>
        <v>0</v>
      </c>
    </row>
    <row r="618" spans="1:11" ht="16" x14ac:dyDescent="0.2">
      <c r="A618" s="34" t="s">
        <v>1</v>
      </c>
      <c r="B618" s="33" t="s">
        <v>1876</v>
      </c>
      <c r="C618" s="33"/>
      <c r="D618" s="33"/>
      <c r="E618" s="33"/>
      <c r="F618" s="33"/>
      <c r="G618" s="33"/>
      <c r="H618" s="33"/>
      <c r="J618" s="28">
        <f>IF(ISNUMBER(SEARCH("x",I618)),-0.5,0)</f>
        <v>0</v>
      </c>
      <c r="K618" s="19"/>
    </row>
    <row r="619" spans="1:11" ht="16" x14ac:dyDescent="0.2">
      <c r="A619" s="34" t="s">
        <v>2</v>
      </c>
      <c r="B619" s="33" t="s">
        <v>1875</v>
      </c>
      <c r="C619" s="33"/>
      <c r="D619" s="33"/>
      <c r="E619" s="33"/>
      <c r="F619" s="33"/>
      <c r="G619" s="33"/>
      <c r="H619" s="33"/>
      <c r="J619" s="28">
        <f>IF(ISNUMBER(SEARCH("x",I619)),-0.5,0)</f>
        <v>0</v>
      </c>
      <c r="K619" s="19"/>
    </row>
    <row r="620" spans="1:11" ht="16" x14ac:dyDescent="0.2">
      <c r="A620" s="34" t="s">
        <v>3</v>
      </c>
      <c r="B620" s="33" t="s">
        <v>1874</v>
      </c>
      <c r="C620" s="33"/>
      <c r="D620" s="33"/>
      <c r="E620" s="33"/>
      <c r="F620" s="33"/>
      <c r="G620" s="33"/>
      <c r="H620" s="33"/>
      <c r="J620" s="28">
        <f>IF(ISNUMBER(SEARCH("x",I620)),0.5,0)</f>
        <v>0</v>
      </c>
      <c r="K620" s="19"/>
    </row>
    <row r="621" spans="1:11" ht="16" x14ac:dyDescent="0.2">
      <c r="A621" s="34" t="s">
        <v>6</v>
      </c>
      <c r="B621" s="33" t="s">
        <v>1873</v>
      </c>
      <c r="C621" s="33"/>
      <c r="D621" s="33"/>
      <c r="E621" s="33"/>
      <c r="F621" s="33"/>
      <c r="G621" s="33"/>
      <c r="H621" s="33"/>
      <c r="J621" s="28">
        <f>IF(ISNUMBER(SEARCH("x",I621)),0.5,0)</f>
        <v>0</v>
      </c>
      <c r="K621" s="19"/>
    </row>
    <row r="622" spans="1:11" s="27" customFormat="1" x14ac:dyDescent="0.2"/>
    <row r="623" spans="1:11" x14ac:dyDescent="0.2">
      <c r="A623" s="37" t="s">
        <v>1872</v>
      </c>
      <c r="B623" s="37"/>
      <c r="C623" s="37"/>
      <c r="D623" s="37"/>
      <c r="E623" s="37"/>
      <c r="F623" s="37"/>
      <c r="G623" s="37"/>
      <c r="H623" s="37"/>
      <c r="I623" s="36" t="s">
        <v>1858</v>
      </c>
    </row>
    <row r="624" spans="1:11" x14ac:dyDescent="0.2">
      <c r="A624" s="35" t="s">
        <v>1871</v>
      </c>
      <c r="B624" s="35"/>
      <c r="C624" s="35"/>
      <c r="D624" s="35"/>
      <c r="E624" s="35"/>
      <c r="F624" s="35"/>
      <c r="G624" s="35"/>
      <c r="H624" s="35"/>
      <c r="I624" s="35"/>
    </row>
    <row r="625" spans="1:11" x14ac:dyDescent="0.2">
      <c r="A625" s="35"/>
      <c r="B625" s="35"/>
      <c r="C625" s="35"/>
      <c r="D625" s="35"/>
      <c r="E625" s="35"/>
      <c r="F625" s="35"/>
      <c r="G625" s="35"/>
      <c r="H625" s="35"/>
      <c r="I625" s="35"/>
    </row>
    <row r="626" spans="1:11" x14ac:dyDescent="0.2">
      <c r="A626" s="35"/>
      <c r="B626" s="35"/>
      <c r="C626" s="35"/>
      <c r="D626" s="35"/>
      <c r="E626" s="35"/>
      <c r="F626" s="35"/>
      <c r="G626" s="35"/>
      <c r="H626" s="35"/>
      <c r="I626" s="35"/>
    </row>
    <row r="627" spans="1:11" x14ac:dyDescent="0.2">
      <c r="A627" s="35"/>
      <c r="B627" s="35"/>
      <c r="C627" s="35"/>
      <c r="D627" s="35"/>
      <c r="E627" s="35"/>
      <c r="F627" s="35"/>
      <c r="G627" s="35"/>
      <c r="H627" s="35"/>
      <c r="I627" s="35"/>
    </row>
    <row r="628" spans="1:11" ht="16" x14ac:dyDescent="0.2">
      <c r="A628" s="34" t="s">
        <v>0</v>
      </c>
      <c r="B628" s="33" t="s">
        <v>1426</v>
      </c>
      <c r="C628" s="33"/>
      <c r="D628" s="33"/>
      <c r="E628" s="33"/>
      <c r="F628" s="33"/>
      <c r="G628" s="33"/>
      <c r="H628" s="33"/>
      <c r="J628" s="28">
        <v>0</v>
      </c>
      <c r="K628" s="19">
        <f>SUM(J628:J631)</f>
        <v>0</v>
      </c>
    </row>
    <row r="629" spans="1:11" ht="16" x14ac:dyDescent="0.2">
      <c r="A629" s="34" t="s">
        <v>1</v>
      </c>
      <c r="B629" s="33" t="s">
        <v>1139</v>
      </c>
      <c r="C629" s="33"/>
      <c r="D629" s="33"/>
      <c r="E629" s="33"/>
      <c r="F629" s="33"/>
      <c r="G629" s="33"/>
      <c r="H629" s="33"/>
      <c r="J629" s="28">
        <v>0</v>
      </c>
      <c r="K629" s="19"/>
    </row>
    <row r="630" spans="1:11" ht="16" x14ac:dyDescent="0.2">
      <c r="A630" s="34" t="s">
        <v>2</v>
      </c>
      <c r="B630" s="33" t="s">
        <v>1870</v>
      </c>
      <c r="C630" s="33"/>
      <c r="D630" s="33"/>
      <c r="E630" s="33"/>
      <c r="F630" s="33"/>
      <c r="G630" s="33"/>
      <c r="H630" s="33"/>
      <c r="J630" s="28">
        <f>IF(ISNUMBER(SEARCH("x",I630)),1,0)</f>
        <v>0</v>
      </c>
      <c r="K630" s="19"/>
    </row>
    <row r="631" spans="1:11" ht="16" x14ac:dyDescent="0.2">
      <c r="A631" s="34" t="s">
        <v>3</v>
      </c>
      <c r="B631" s="33" t="s">
        <v>761</v>
      </c>
      <c r="C631" s="33"/>
      <c r="D631" s="33"/>
      <c r="E631" s="33"/>
      <c r="F631" s="33"/>
      <c r="G631" s="33"/>
      <c r="H631" s="33"/>
      <c r="J631" s="28">
        <v>0</v>
      </c>
      <c r="K631" s="19"/>
    </row>
    <row r="632" spans="1:11" s="27" customFormat="1" x14ac:dyDescent="0.2"/>
    <row r="633" spans="1:11" x14ac:dyDescent="0.2">
      <c r="A633" s="37" t="s">
        <v>1869</v>
      </c>
      <c r="B633" s="37"/>
      <c r="C633" s="37"/>
      <c r="D633" s="37"/>
      <c r="E633" s="37"/>
      <c r="F633" s="37"/>
      <c r="G633" s="37"/>
      <c r="H633" s="37"/>
      <c r="I633" s="36" t="s">
        <v>1858</v>
      </c>
    </row>
    <row r="634" spans="1:11" x14ac:dyDescent="0.2">
      <c r="A634" s="35" t="s">
        <v>1868</v>
      </c>
      <c r="B634" s="35"/>
      <c r="C634" s="35"/>
      <c r="D634" s="35"/>
      <c r="E634" s="35"/>
      <c r="F634" s="35"/>
      <c r="G634" s="35"/>
      <c r="H634" s="35"/>
      <c r="I634" s="35"/>
    </row>
    <row r="635" spans="1:11" x14ac:dyDescent="0.2">
      <c r="A635" s="35"/>
      <c r="B635" s="35"/>
      <c r="C635" s="35"/>
      <c r="D635" s="35"/>
      <c r="E635" s="35"/>
      <c r="F635" s="35"/>
      <c r="G635" s="35"/>
      <c r="H635" s="35"/>
      <c r="I635" s="35"/>
    </row>
    <row r="636" spans="1:11" x14ac:dyDescent="0.2">
      <c r="A636" s="35"/>
      <c r="B636" s="35"/>
      <c r="C636" s="35"/>
      <c r="D636" s="35"/>
      <c r="E636" s="35"/>
      <c r="F636" s="35"/>
      <c r="G636" s="35"/>
      <c r="H636" s="35"/>
      <c r="I636" s="35"/>
    </row>
    <row r="637" spans="1:11" x14ac:dyDescent="0.2">
      <c r="A637" s="35"/>
      <c r="B637" s="35"/>
      <c r="C637" s="35"/>
      <c r="D637" s="35"/>
      <c r="E637" s="35"/>
      <c r="F637" s="35"/>
      <c r="G637" s="35"/>
      <c r="H637" s="35"/>
      <c r="I637" s="35"/>
    </row>
    <row r="638" spans="1:11" ht="28.75" customHeight="1" x14ac:dyDescent="0.2">
      <c r="A638" s="34" t="s">
        <v>0</v>
      </c>
      <c r="B638" s="33" t="s">
        <v>1867</v>
      </c>
      <c r="C638" s="33"/>
      <c r="D638" s="33"/>
      <c r="E638" s="33"/>
      <c r="F638" s="33"/>
      <c r="G638" s="33"/>
      <c r="H638" s="33"/>
      <c r="J638" s="28">
        <v>0</v>
      </c>
      <c r="K638" s="19">
        <f>SUM(J638:J641)</f>
        <v>0</v>
      </c>
    </row>
    <row r="639" spans="1:11" ht="28.75" customHeight="1" x14ac:dyDescent="0.2">
      <c r="A639" s="34" t="s">
        <v>1</v>
      </c>
      <c r="B639" s="33" t="s">
        <v>1866</v>
      </c>
      <c r="C639" s="33"/>
      <c r="D639" s="33"/>
      <c r="E639" s="33"/>
      <c r="F639" s="33"/>
      <c r="G639" s="33"/>
      <c r="H639" s="33"/>
      <c r="J639" s="28">
        <f>IF(ISNUMBER(SEARCH("x",I639)),1,0)</f>
        <v>0</v>
      </c>
      <c r="K639" s="19"/>
    </row>
    <row r="640" spans="1:11" ht="28.75" customHeight="1" x14ac:dyDescent="0.2">
      <c r="A640" s="34" t="s">
        <v>2</v>
      </c>
      <c r="B640" s="33" t="s">
        <v>1865</v>
      </c>
      <c r="C640" s="33"/>
      <c r="D640" s="33"/>
      <c r="E640" s="33"/>
      <c r="F640" s="33"/>
      <c r="G640" s="33"/>
      <c r="H640" s="33"/>
      <c r="J640" s="38">
        <v>0</v>
      </c>
      <c r="K640" s="19"/>
    </row>
    <row r="641" spans="1:11" ht="28.75" customHeight="1" x14ac:dyDescent="0.2">
      <c r="A641" s="34" t="s">
        <v>3</v>
      </c>
      <c r="B641" s="33" t="s">
        <v>1864</v>
      </c>
      <c r="C641" s="33"/>
      <c r="D641" s="33"/>
      <c r="E641" s="33"/>
      <c r="F641" s="33"/>
      <c r="G641" s="33"/>
      <c r="H641" s="33"/>
      <c r="J641" s="28">
        <v>0</v>
      </c>
      <c r="K641" s="19"/>
    </row>
    <row r="642" spans="1:11" s="27" customFormat="1" x14ac:dyDescent="0.2"/>
    <row r="643" spans="1:11" x14ac:dyDescent="0.2">
      <c r="A643" s="37" t="s">
        <v>1863</v>
      </c>
      <c r="B643" s="37"/>
      <c r="C643" s="37"/>
      <c r="D643" s="37"/>
      <c r="E643" s="37"/>
      <c r="F643" s="37"/>
      <c r="G643" s="37"/>
      <c r="H643" s="37"/>
      <c r="I643" s="36" t="s">
        <v>1858</v>
      </c>
    </row>
    <row r="644" spans="1:11" x14ac:dyDescent="0.2">
      <c r="A644" s="35" t="s">
        <v>1862</v>
      </c>
      <c r="B644" s="35"/>
      <c r="C644" s="35"/>
      <c r="D644" s="35"/>
      <c r="E644" s="35"/>
      <c r="F644" s="35"/>
      <c r="G644" s="35"/>
      <c r="H644" s="35"/>
      <c r="I644" s="35"/>
    </row>
    <row r="645" spans="1:11" x14ac:dyDescent="0.2">
      <c r="A645" s="35"/>
      <c r="B645" s="35"/>
      <c r="C645" s="35"/>
      <c r="D645" s="35"/>
      <c r="E645" s="35"/>
      <c r="F645" s="35"/>
      <c r="G645" s="35"/>
      <c r="H645" s="35"/>
      <c r="I645" s="35"/>
    </row>
    <row r="646" spans="1:11" x14ac:dyDescent="0.2">
      <c r="A646" s="35"/>
      <c r="B646" s="35"/>
      <c r="C646" s="35"/>
      <c r="D646" s="35"/>
      <c r="E646" s="35"/>
      <c r="F646" s="35"/>
      <c r="G646" s="35"/>
      <c r="H646" s="35"/>
      <c r="I646" s="35"/>
    </row>
    <row r="647" spans="1:11" x14ac:dyDescent="0.2">
      <c r="A647" s="35"/>
      <c r="B647" s="35"/>
      <c r="C647" s="35"/>
      <c r="D647" s="35"/>
      <c r="E647" s="35"/>
      <c r="F647" s="35"/>
      <c r="G647" s="35"/>
      <c r="H647" s="35"/>
      <c r="I647" s="35"/>
    </row>
    <row r="648" spans="1:11" ht="16" x14ac:dyDescent="0.2">
      <c r="A648" s="34" t="s">
        <v>0</v>
      </c>
      <c r="B648" s="33" t="s">
        <v>1861</v>
      </c>
      <c r="C648" s="33"/>
      <c r="D648" s="33"/>
      <c r="E648" s="33"/>
      <c r="F648" s="33"/>
      <c r="G648" s="33"/>
      <c r="H648" s="33"/>
      <c r="J648" s="28">
        <v>0</v>
      </c>
      <c r="K648" s="19">
        <f>SUM(J648:J651)</f>
        <v>0</v>
      </c>
    </row>
    <row r="649" spans="1:11" ht="16" x14ac:dyDescent="0.2">
      <c r="A649" s="34" t="s">
        <v>1</v>
      </c>
      <c r="B649" s="33" t="s">
        <v>41</v>
      </c>
      <c r="C649" s="33"/>
      <c r="D649" s="33"/>
      <c r="E649" s="33"/>
      <c r="F649" s="33"/>
      <c r="G649" s="33"/>
      <c r="H649" s="33"/>
      <c r="J649" s="28">
        <v>0</v>
      </c>
      <c r="K649" s="19"/>
    </row>
    <row r="650" spans="1:11" ht="16" x14ac:dyDescent="0.2">
      <c r="A650" s="34" t="s">
        <v>2</v>
      </c>
      <c r="B650" s="33" t="s">
        <v>1491</v>
      </c>
      <c r="C650" s="33"/>
      <c r="D650" s="33"/>
      <c r="E650" s="33"/>
      <c r="F650" s="33"/>
      <c r="G650" s="33"/>
      <c r="H650" s="33"/>
      <c r="J650" s="28">
        <f>IF(ISNUMBER(SEARCH("x",I650)),1,0)</f>
        <v>0</v>
      </c>
      <c r="K650" s="19"/>
    </row>
    <row r="651" spans="1:11" ht="16" x14ac:dyDescent="0.2">
      <c r="A651" s="34" t="s">
        <v>3</v>
      </c>
      <c r="B651" s="33" t="s">
        <v>1860</v>
      </c>
      <c r="C651" s="33"/>
      <c r="D651" s="33"/>
      <c r="E651" s="33"/>
      <c r="F651" s="33"/>
      <c r="G651" s="33"/>
      <c r="H651" s="33"/>
      <c r="J651" s="28">
        <v>0</v>
      </c>
      <c r="K651" s="19"/>
    </row>
    <row r="652" spans="1:11" s="27" customFormat="1" x14ac:dyDescent="0.2"/>
    <row r="653" spans="1:11" x14ac:dyDescent="0.2">
      <c r="A653" s="37" t="s">
        <v>1859</v>
      </c>
      <c r="B653" s="37"/>
      <c r="C653" s="37"/>
      <c r="D653" s="37"/>
      <c r="E653" s="37"/>
      <c r="F653" s="37"/>
      <c r="G653" s="37"/>
      <c r="H653" s="37"/>
      <c r="I653" s="36" t="s">
        <v>1858</v>
      </c>
    </row>
    <row r="654" spans="1:11" x14ac:dyDescent="0.2">
      <c r="A654" s="35" t="s">
        <v>1857</v>
      </c>
      <c r="B654" s="35"/>
      <c r="C654" s="35"/>
      <c r="D654" s="35"/>
      <c r="E654" s="35"/>
      <c r="F654" s="35"/>
      <c r="G654" s="35"/>
      <c r="H654" s="35"/>
      <c r="I654" s="35"/>
    </row>
    <row r="655" spans="1:11" x14ac:dyDescent="0.2">
      <c r="A655" s="35"/>
      <c r="B655" s="35"/>
      <c r="C655" s="35"/>
      <c r="D655" s="35"/>
      <c r="E655" s="35"/>
      <c r="F655" s="35"/>
      <c r="G655" s="35"/>
      <c r="H655" s="35"/>
      <c r="I655" s="35"/>
    </row>
    <row r="656" spans="1:11" x14ac:dyDescent="0.2">
      <c r="A656" s="35"/>
      <c r="B656" s="35"/>
      <c r="C656" s="35"/>
      <c r="D656" s="35"/>
      <c r="E656" s="35"/>
      <c r="F656" s="35"/>
      <c r="G656" s="35"/>
      <c r="H656" s="35"/>
      <c r="I656" s="35"/>
    </row>
    <row r="657" spans="1:11" x14ac:dyDescent="0.2">
      <c r="A657" s="35"/>
      <c r="B657" s="35"/>
      <c r="C657" s="35"/>
      <c r="D657" s="35"/>
      <c r="E657" s="35"/>
      <c r="F657" s="35"/>
      <c r="G657" s="35"/>
      <c r="H657" s="35"/>
      <c r="I657" s="35"/>
    </row>
    <row r="658" spans="1:11" ht="16" x14ac:dyDescent="0.2">
      <c r="A658" s="34" t="s">
        <v>0</v>
      </c>
      <c r="B658" s="33" t="s">
        <v>1856</v>
      </c>
      <c r="C658" s="33"/>
      <c r="D658" s="33"/>
      <c r="E658" s="33"/>
      <c r="F658" s="33"/>
      <c r="G658" s="33"/>
      <c r="H658" s="33"/>
      <c r="J658" s="28">
        <v>0</v>
      </c>
      <c r="K658" s="19">
        <f>SUM(J658:J661)</f>
        <v>0</v>
      </c>
    </row>
    <row r="659" spans="1:11" ht="16" x14ac:dyDescent="0.2">
      <c r="A659" s="34" t="s">
        <v>1</v>
      </c>
      <c r="B659" s="33" t="s">
        <v>1855</v>
      </c>
      <c r="C659" s="33"/>
      <c r="D659" s="33"/>
      <c r="E659" s="33"/>
      <c r="F659" s="33"/>
      <c r="G659" s="33"/>
      <c r="H659" s="33"/>
      <c r="J659" s="28">
        <v>0</v>
      </c>
      <c r="K659" s="19"/>
    </row>
    <row r="660" spans="1:11" ht="16" x14ac:dyDescent="0.2">
      <c r="A660" s="34" t="s">
        <v>2</v>
      </c>
      <c r="B660" s="33" t="s">
        <v>1854</v>
      </c>
      <c r="C660" s="33"/>
      <c r="D660" s="33"/>
      <c r="E660" s="33"/>
      <c r="F660" s="33"/>
      <c r="G660" s="33"/>
      <c r="H660" s="33"/>
      <c r="J660" s="28">
        <f>IF(ISNUMBER(SEARCH("x",I660)),1,0)</f>
        <v>0</v>
      </c>
      <c r="K660" s="19"/>
    </row>
    <row r="661" spans="1:11" ht="16" x14ac:dyDescent="0.2">
      <c r="A661" s="34" t="s">
        <v>3</v>
      </c>
      <c r="B661" s="33" t="s">
        <v>1853</v>
      </c>
      <c r="C661" s="33"/>
      <c r="D661" s="33"/>
      <c r="E661" s="33"/>
      <c r="F661" s="33"/>
      <c r="G661" s="33"/>
      <c r="H661" s="33"/>
      <c r="J661" s="28">
        <v>0</v>
      </c>
      <c r="K661" s="19"/>
    </row>
    <row r="662" spans="1:11" s="27" customFormat="1" x14ac:dyDescent="0.2"/>
    <row r="663" spans="1:11" s="27" customFormat="1" x14ac:dyDescent="0.2"/>
    <row r="664" spans="1:11" ht="14.5" customHeight="1" x14ac:dyDescent="0.2">
      <c r="A664" s="27"/>
      <c r="B664" s="32" t="s">
        <v>1852</v>
      </c>
      <c r="C664" s="32"/>
      <c r="D664" s="32"/>
      <c r="E664" s="32"/>
      <c r="F664" s="29" t="s">
        <v>1851</v>
      </c>
      <c r="G664" s="29" t="s">
        <v>1850</v>
      </c>
      <c r="H664" s="29"/>
      <c r="I664" s="27"/>
    </row>
    <row r="665" spans="1:11" x14ac:dyDescent="0.2">
      <c r="A665" s="27"/>
      <c r="B665" s="32"/>
      <c r="C665" s="32"/>
      <c r="D665" s="32"/>
      <c r="E665" s="32"/>
      <c r="F665" s="31">
        <f>G665/65</f>
        <v>0</v>
      </c>
      <c r="G665">
        <f>SUM(K1:K664)</f>
        <v>0</v>
      </c>
      <c r="I665" s="27"/>
    </row>
    <row r="666" spans="1:11" ht="14.5" customHeight="1" x14ac:dyDescent="0.2">
      <c r="A666" s="27"/>
      <c r="B666" s="30" t="str">
        <f>IF(F665&gt;=70%,"¡Has aprobado!","Inténtalo nuevamente")</f>
        <v>Inténtalo nuevamente</v>
      </c>
      <c r="C666" s="30"/>
      <c r="D666" s="30"/>
      <c r="E666" s="30"/>
      <c r="F666" s="30"/>
      <c r="G666" s="30"/>
      <c r="H666" s="29"/>
      <c r="I666" s="27"/>
    </row>
    <row r="667" spans="1:11" x14ac:dyDescent="0.2">
      <c r="A667" s="27"/>
      <c r="B667" s="27"/>
      <c r="C667" s="27"/>
      <c r="D667" s="27"/>
      <c r="E667" s="27"/>
      <c r="F667" s="27"/>
      <c r="G667" s="27"/>
      <c r="H667" s="27"/>
      <c r="I667" s="27"/>
    </row>
  </sheetData>
  <mergeCells count="469">
    <mergeCell ref="B599:H599"/>
    <mergeCell ref="B600:H600"/>
    <mergeCell ref="A602:H602"/>
    <mergeCell ref="A603:I606"/>
    <mergeCell ref="B607:H607"/>
    <mergeCell ref="K607:K610"/>
    <mergeCell ref="B608:H608"/>
    <mergeCell ref="B609:H609"/>
    <mergeCell ref="B610:H610"/>
    <mergeCell ref="A592:H592"/>
    <mergeCell ref="A593:I596"/>
    <mergeCell ref="B597:H597"/>
    <mergeCell ref="K597:K600"/>
    <mergeCell ref="B598:H598"/>
    <mergeCell ref="A582:H582"/>
    <mergeCell ref="A583:I586"/>
    <mergeCell ref="B587:H587"/>
    <mergeCell ref="K587:K590"/>
    <mergeCell ref="B588:H588"/>
    <mergeCell ref="B589:H589"/>
    <mergeCell ref="B590:H590"/>
    <mergeCell ref="A571:H571"/>
    <mergeCell ref="A572:I575"/>
    <mergeCell ref="B576:H576"/>
    <mergeCell ref="K576:K580"/>
    <mergeCell ref="B577:H577"/>
    <mergeCell ref="B578:H578"/>
    <mergeCell ref="B579:H579"/>
    <mergeCell ref="B580:H580"/>
    <mergeCell ref="A561:H561"/>
    <mergeCell ref="A562:I565"/>
    <mergeCell ref="B566:H566"/>
    <mergeCell ref="K566:K569"/>
    <mergeCell ref="B567:H567"/>
    <mergeCell ref="B568:H568"/>
    <mergeCell ref="B569:H569"/>
    <mergeCell ref="A551:H551"/>
    <mergeCell ref="A552:I555"/>
    <mergeCell ref="B556:H556"/>
    <mergeCell ref="K556:K559"/>
    <mergeCell ref="B557:H557"/>
    <mergeCell ref="B558:H558"/>
    <mergeCell ref="B559:H559"/>
    <mergeCell ref="A541:H541"/>
    <mergeCell ref="A542:I545"/>
    <mergeCell ref="B546:H546"/>
    <mergeCell ref="K546:K549"/>
    <mergeCell ref="B547:H547"/>
    <mergeCell ref="B548:H548"/>
    <mergeCell ref="B549:H549"/>
    <mergeCell ref="A531:H531"/>
    <mergeCell ref="A532:I535"/>
    <mergeCell ref="B536:H536"/>
    <mergeCell ref="K536:K539"/>
    <mergeCell ref="B537:H537"/>
    <mergeCell ref="B538:H538"/>
    <mergeCell ref="B539:H539"/>
    <mergeCell ref="A521:H521"/>
    <mergeCell ref="A522:I525"/>
    <mergeCell ref="B526:H526"/>
    <mergeCell ref="K526:K529"/>
    <mergeCell ref="B527:H527"/>
    <mergeCell ref="B528:H528"/>
    <mergeCell ref="B529:H529"/>
    <mergeCell ref="A511:H511"/>
    <mergeCell ref="A512:I515"/>
    <mergeCell ref="B516:H516"/>
    <mergeCell ref="K516:K519"/>
    <mergeCell ref="B517:H517"/>
    <mergeCell ref="B518:H518"/>
    <mergeCell ref="B519:H519"/>
    <mergeCell ref="A500:H500"/>
    <mergeCell ref="A501:I504"/>
    <mergeCell ref="B505:H505"/>
    <mergeCell ref="K505:K509"/>
    <mergeCell ref="B506:H506"/>
    <mergeCell ref="B507:H507"/>
    <mergeCell ref="B508:H508"/>
    <mergeCell ref="B509:H509"/>
    <mergeCell ref="A489:H489"/>
    <mergeCell ref="A490:I493"/>
    <mergeCell ref="B494:H494"/>
    <mergeCell ref="K494:K498"/>
    <mergeCell ref="B495:H495"/>
    <mergeCell ref="B496:H496"/>
    <mergeCell ref="B497:H497"/>
    <mergeCell ref="B498:H498"/>
    <mergeCell ref="A479:H479"/>
    <mergeCell ref="A480:I483"/>
    <mergeCell ref="B484:H484"/>
    <mergeCell ref="K484:K487"/>
    <mergeCell ref="B485:H485"/>
    <mergeCell ref="B486:H486"/>
    <mergeCell ref="B487:H487"/>
    <mergeCell ref="A469:H469"/>
    <mergeCell ref="A470:I473"/>
    <mergeCell ref="B474:H474"/>
    <mergeCell ref="K474:K477"/>
    <mergeCell ref="B475:H475"/>
    <mergeCell ref="B476:H476"/>
    <mergeCell ref="B477:H477"/>
    <mergeCell ref="A459:H459"/>
    <mergeCell ref="A460:I463"/>
    <mergeCell ref="B464:H464"/>
    <mergeCell ref="K464:K467"/>
    <mergeCell ref="B465:H465"/>
    <mergeCell ref="B466:H466"/>
    <mergeCell ref="B467:H467"/>
    <mergeCell ref="A449:H449"/>
    <mergeCell ref="A450:I453"/>
    <mergeCell ref="B454:H454"/>
    <mergeCell ref="K454:K457"/>
    <mergeCell ref="B455:H455"/>
    <mergeCell ref="B456:H456"/>
    <mergeCell ref="B457:H457"/>
    <mergeCell ref="A439:H439"/>
    <mergeCell ref="A440:I443"/>
    <mergeCell ref="B444:H444"/>
    <mergeCell ref="K444:K447"/>
    <mergeCell ref="B445:H445"/>
    <mergeCell ref="B446:H446"/>
    <mergeCell ref="B447:H447"/>
    <mergeCell ref="A428:H428"/>
    <mergeCell ref="A429:I432"/>
    <mergeCell ref="B433:H433"/>
    <mergeCell ref="K433:K437"/>
    <mergeCell ref="B434:H434"/>
    <mergeCell ref="B435:H435"/>
    <mergeCell ref="B436:H436"/>
    <mergeCell ref="B437:H437"/>
    <mergeCell ref="A418:H418"/>
    <mergeCell ref="A419:I422"/>
    <mergeCell ref="B423:H423"/>
    <mergeCell ref="K423:K426"/>
    <mergeCell ref="B424:H424"/>
    <mergeCell ref="B425:H425"/>
    <mergeCell ref="B426:H426"/>
    <mergeCell ref="A408:H408"/>
    <mergeCell ref="A409:I412"/>
    <mergeCell ref="B413:H413"/>
    <mergeCell ref="K413:K416"/>
    <mergeCell ref="B414:H414"/>
    <mergeCell ref="B415:H415"/>
    <mergeCell ref="B416:H416"/>
    <mergeCell ref="A397:H397"/>
    <mergeCell ref="A398:I401"/>
    <mergeCell ref="B402:H402"/>
    <mergeCell ref="K402:K406"/>
    <mergeCell ref="B403:H403"/>
    <mergeCell ref="B404:H404"/>
    <mergeCell ref="B405:H405"/>
    <mergeCell ref="B406:H406"/>
    <mergeCell ref="A387:H387"/>
    <mergeCell ref="A388:I391"/>
    <mergeCell ref="B392:H392"/>
    <mergeCell ref="K392:K395"/>
    <mergeCell ref="B393:H393"/>
    <mergeCell ref="B394:H394"/>
    <mergeCell ref="B395:H395"/>
    <mergeCell ref="A377:H377"/>
    <mergeCell ref="A378:I381"/>
    <mergeCell ref="B382:H382"/>
    <mergeCell ref="K382:K385"/>
    <mergeCell ref="B383:H383"/>
    <mergeCell ref="B384:H384"/>
    <mergeCell ref="B385:H385"/>
    <mergeCell ref="A367:H367"/>
    <mergeCell ref="A368:I371"/>
    <mergeCell ref="B372:H372"/>
    <mergeCell ref="K372:K375"/>
    <mergeCell ref="B373:H373"/>
    <mergeCell ref="B374:H374"/>
    <mergeCell ref="B375:H375"/>
    <mergeCell ref="A357:H357"/>
    <mergeCell ref="A358:I361"/>
    <mergeCell ref="B362:H362"/>
    <mergeCell ref="K362:K365"/>
    <mergeCell ref="B363:H363"/>
    <mergeCell ref="B364:H364"/>
    <mergeCell ref="B365:H365"/>
    <mergeCell ref="A347:H347"/>
    <mergeCell ref="A348:I351"/>
    <mergeCell ref="B352:H352"/>
    <mergeCell ref="K352:K355"/>
    <mergeCell ref="B353:H353"/>
    <mergeCell ref="B354:H354"/>
    <mergeCell ref="B355:H355"/>
    <mergeCell ref="A337:H337"/>
    <mergeCell ref="A338:I341"/>
    <mergeCell ref="B342:H342"/>
    <mergeCell ref="K342:K345"/>
    <mergeCell ref="B343:H343"/>
    <mergeCell ref="B344:H344"/>
    <mergeCell ref="B345:H345"/>
    <mergeCell ref="A327:H327"/>
    <mergeCell ref="A328:I331"/>
    <mergeCell ref="B332:H332"/>
    <mergeCell ref="K332:K335"/>
    <mergeCell ref="B333:H333"/>
    <mergeCell ref="B334:H334"/>
    <mergeCell ref="B335:H335"/>
    <mergeCell ref="A317:H317"/>
    <mergeCell ref="A318:I321"/>
    <mergeCell ref="B322:H322"/>
    <mergeCell ref="K322:K325"/>
    <mergeCell ref="B323:H323"/>
    <mergeCell ref="B324:H324"/>
    <mergeCell ref="B325:H325"/>
    <mergeCell ref="A307:H307"/>
    <mergeCell ref="A308:I311"/>
    <mergeCell ref="B312:H312"/>
    <mergeCell ref="K312:K315"/>
    <mergeCell ref="B313:H313"/>
    <mergeCell ref="B314:H314"/>
    <mergeCell ref="B315:H315"/>
    <mergeCell ref="A297:H297"/>
    <mergeCell ref="A298:I301"/>
    <mergeCell ref="B302:H302"/>
    <mergeCell ref="K302:K305"/>
    <mergeCell ref="B303:H303"/>
    <mergeCell ref="B304:H304"/>
    <mergeCell ref="B305:H305"/>
    <mergeCell ref="A287:H287"/>
    <mergeCell ref="A288:I291"/>
    <mergeCell ref="B292:H292"/>
    <mergeCell ref="K292:K295"/>
    <mergeCell ref="B293:H293"/>
    <mergeCell ref="B294:H294"/>
    <mergeCell ref="B295:H295"/>
    <mergeCell ref="A277:H277"/>
    <mergeCell ref="A278:I281"/>
    <mergeCell ref="B282:H282"/>
    <mergeCell ref="K282:K285"/>
    <mergeCell ref="B283:H283"/>
    <mergeCell ref="B284:H284"/>
    <mergeCell ref="B285:H285"/>
    <mergeCell ref="A266:H266"/>
    <mergeCell ref="A267:I270"/>
    <mergeCell ref="B271:H271"/>
    <mergeCell ref="K271:K275"/>
    <mergeCell ref="B272:H272"/>
    <mergeCell ref="B273:H273"/>
    <mergeCell ref="B274:H274"/>
    <mergeCell ref="B275:H275"/>
    <mergeCell ref="A256:H256"/>
    <mergeCell ref="A257:I260"/>
    <mergeCell ref="B261:H261"/>
    <mergeCell ref="K261:K264"/>
    <mergeCell ref="B262:H262"/>
    <mergeCell ref="B263:H263"/>
    <mergeCell ref="B264:H264"/>
    <mergeCell ref="A246:H246"/>
    <mergeCell ref="A247:I250"/>
    <mergeCell ref="B251:H251"/>
    <mergeCell ref="K251:K254"/>
    <mergeCell ref="B252:H252"/>
    <mergeCell ref="B253:H253"/>
    <mergeCell ref="B254:H254"/>
    <mergeCell ref="A236:H236"/>
    <mergeCell ref="A237:I240"/>
    <mergeCell ref="B241:H241"/>
    <mergeCell ref="K241:K244"/>
    <mergeCell ref="B242:H242"/>
    <mergeCell ref="B243:H243"/>
    <mergeCell ref="B244:H244"/>
    <mergeCell ref="B230:H230"/>
    <mergeCell ref="K230:K234"/>
    <mergeCell ref="B231:H231"/>
    <mergeCell ref="B232:H232"/>
    <mergeCell ref="B233:H233"/>
    <mergeCell ref="B234:H234"/>
    <mergeCell ref="B9:H9"/>
    <mergeCell ref="A1:H1"/>
    <mergeCell ref="A2:I5"/>
    <mergeCell ref="A11:H11"/>
    <mergeCell ref="A12:I15"/>
    <mergeCell ref="A225:H225"/>
    <mergeCell ref="B16:H16"/>
    <mergeCell ref="B17:H17"/>
    <mergeCell ref="B18:H18"/>
    <mergeCell ref="B19:H19"/>
    <mergeCell ref="B20:H20"/>
    <mergeCell ref="K6:K9"/>
    <mergeCell ref="K16:K20"/>
    <mergeCell ref="B6:H6"/>
    <mergeCell ref="B7:H7"/>
    <mergeCell ref="B8:H8"/>
    <mergeCell ref="A22:H22"/>
    <mergeCell ref="A23:I26"/>
    <mergeCell ref="B27:H27"/>
    <mergeCell ref="B28:H28"/>
    <mergeCell ref="B29:H29"/>
    <mergeCell ref="B30:H30"/>
    <mergeCell ref="K27:K30"/>
    <mergeCell ref="A32:H32"/>
    <mergeCell ref="A33:I36"/>
    <mergeCell ref="B37:H37"/>
    <mergeCell ref="K37:K41"/>
    <mergeCell ref="B38:H38"/>
    <mergeCell ref="B39:H39"/>
    <mergeCell ref="B40:H40"/>
    <mergeCell ref="B41:H41"/>
    <mergeCell ref="A43:H43"/>
    <mergeCell ref="A44:I47"/>
    <mergeCell ref="B48:H48"/>
    <mergeCell ref="K48:K51"/>
    <mergeCell ref="B49:H49"/>
    <mergeCell ref="B50:H50"/>
    <mergeCell ref="B51:H51"/>
    <mergeCell ref="A53:H53"/>
    <mergeCell ref="A54:I57"/>
    <mergeCell ref="B58:H58"/>
    <mergeCell ref="K58:K62"/>
    <mergeCell ref="B59:H59"/>
    <mergeCell ref="B60:H60"/>
    <mergeCell ref="B61:H61"/>
    <mergeCell ref="B62:H62"/>
    <mergeCell ref="A64:H64"/>
    <mergeCell ref="A65:I68"/>
    <mergeCell ref="B69:H69"/>
    <mergeCell ref="K69:K72"/>
    <mergeCell ref="B70:H70"/>
    <mergeCell ref="B71:H71"/>
    <mergeCell ref="B72:H72"/>
    <mergeCell ref="A74:H74"/>
    <mergeCell ref="A75:I78"/>
    <mergeCell ref="B79:H79"/>
    <mergeCell ref="K79:K82"/>
    <mergeCell ref="B80:H80"/>
    <mergeCell ref="B81:H81"/>
    <mergeCell ref="B82:H82"/>
    <mergeCell ref="A84:H84"/>
    <mergeCell ref="A85:I88"/>
    <mergeCell ref="B89:H89"/>
    <mergeCell ref="K89:K92"/>
    <mergeCell ref="B90:H90"/>
    <mergeCell ref="B91:H91"/>
    <mergeCell ref="B92:H92"/>
    <mergeCell ref="A94:H94"/>
    <mergeCell ref="A95:I98"/>
    <mergeCell ref="B99:H99"/>
    <mergeCell ref="K99:K102"/>
    <mergeCell ref="B100:H100"/>
    <mergeCell ref="B101:H101"/>
    <mergeCell ref="B102:H102"/>
    <mergeCell ref="A104:H104"/>
    <mergeCell ref="A105:I108"/>
    <mergeCell ref="B109:H109"/>
    <mergeCell ref="K109:K112"/>
    <mergeCell ref="B110:H110"/>
    <mergeCell ref="B111:H111"/>
    <mergeCell ref="B112:H112"/>
    <mergeCell ref="A114:H114"/>
    <mergeCell ref="A115:I118"/>
    <mergeCell ref="B119:H119"/>
    <mergeCell ref="K119:K122"/>
    <mergeCell ref="B120:H120"/>
    <mergeCell ref="B121:H121"/>
    <mergeCell ref="B122:H122"/>
    <mergeCell ref="A124:H124"/>
    <mergeCell ref="A125:I128"/>
    <mergeCell ref="B129:H129"/>
    <mergeCell ref="K129:K132"/>
    <mergeCell ref="B130:H130"/>
    <mergeCell ref="B131:H131"/>
    <mergeCell ref="B132:H132"/>
    <mergeCell ref="A134:H134"/>
    <mergeCell ref="A135:I138"/>
    <mergeCell ref="B139:H139"/>
    <mergeCell ref="K139:K142"/>
    <mergeCell ref="B140:H140"/>
    <mergeCell ref="B141:H141"/>
    <mergeCell ref="B142:H142"/>
    <mergeCell ref="A144:H144"/>
    <mergeCell ref="A145:I148"/>
    <mergeCell ref="B149:H149"/>
    <mergeCell ref="K149:K152"/>
    <mergeCell ref="B150:H150"/>
    <mergeCell ref="B151:H151"/>
    <mergeCell ref="B152:H152"/>
    <mergeCell ref="A154:H154"/>
    <mergeCell ref="A155:I158"/>
    <mergeCell ref="B159:H159"/>
    <mergeCell ref="K159:K162"/>
    <mergeCell ref="B160:H160"/>
    <mergeCell ref="B161:H161"/>
    <mergeCell ref="B162:H162"/>
    <mergeCell ref="A164:H164"/>
    <mergeCell ref="A165:I168"/>
    <mergeCell ref="B169:H169"/>
    <mergeCell ref="K169:K172"/>
    <mergeCell ref="B170:H170"/>
    <mergeCell ref="B171:H171"/>
    <mergeCell ref="B172:H172"/>
    <mergeCell ref="A174:H174"/>
    <mergeCell ref="A175:I178"/>
    <mergeCell ref="B179:H179"/>
    <mergeCell ref="K179:K182"/>
    <mergeCell ref="B180:H180"/>
    <mergeCell ref="B181:H181"/>
    <mergeCell ref="B182:H182"/>
    <mergeCell ref="A184:H184"/>
    <mergeCell ref="A185:I188"/>
    <mergeCell ref="B189:H189"/>
    <mergeCell ref="K189:K192"/>
    <mergeCell ref="B190:H190"/>
    <mergeCell ref="B191:H191"/>
    <mergeCell ref="B192:H192"/>
    <mergeCell ref="A194:H194"/>
    <mergeCell ref="A195:I198"/>
    <mergeCell ref="B199:H199"/>
    <mergeCell ref="K199:K202"/>
    <mergeCell ref="B200:H200"/>
    <mergeCell ref="B201:H201"/>
    <mergeCell ref="B202:H202"/>
    <mergeCell ref="A204:H204"/>
    <mergeCell ref="A205:I208"/>
    <mergeCell ref="B209:H209"/>
    <mergeCell ref="K209:K212"/>
    <mergeCell ref="B210:H210"/>
    <mergeCell ref="B211:H211"/>
    <mergeCell ref="B212:H212"/>
    <mergeCell ref="A623:H623"/>
    <mergeCell ref="A214:H214"/>
    <mergeCell ref="A215:I218"/>
    <mergeCell ref="B219:H219"/>
    <mergeCell ref="K219:K223"/>
    <mergeCell ref="B220:H220"/>
    <mergeCell ref="B221:H221"/>
    <mergeCell ref="B222:H222"/>
    <mergeCell ref="B223:H223"/>
    <mergeCell ref="A226:I229"/>
    <mergeCell ref="A612:H612"/>
    <mergeCell ref="A613:I616"/>
    <mergeCell ref="B617:H617"/>
    <mergeCell ref="K617:K621"/>
    <mergeCell ref="B618:H618"/>
    <mergeCell ref="B619:H619"/>
    <mergeCell ref="B620:H620"/>
    <mergeCell ref="B621:H621"/>
    <mergeCell ref="A633:H633"/>
    <mergeCell ref="A634:I637"/>
    <mergeCell ref="B638:H638"/>
    <mergeCell ref="K638:K641"/>
    <mergeCell ref="B639:H639"/>
    <mergeCell ref="B640:H640"/>
    <mergeCell ref="B641:H641"/>
    <mergeCell ref="A624:I627"/>
    <mergeCell ref="B628:H628"/>
    <mergeCell ref="K628:K631"/>
    <mergeCell ref="B629:H629"/>
    <mergeCell ref="B630:H630"/>
    <mergeCell ref="B631:H631"/>
    <mergeCell ref="B666:G666"/>
    <mergeCell ref="A643:H643"/>
    <mergeCell ref="A644:I647"/>
    <mergeCell ref="B648:H648"/>
    <mergeCell ref="K648:K651"/>
    <mergeCell ref="B649:H649"/>
    <mergeCell ref="B650:H650"/>
    <mergeCell ref="B651:H651"/>
    <mergeCell ref="A653:H653"/>
    <mergeCell ref="A654:I657"/>
    <mergeCell ref="B658:H658"/>
    <mergeCell ref="K658:K661"/>
    <mergeCell ref="B659:H659"/>
    <mergeCell ref="B660:H660"/>
    <mergeCell ref="B661:H661"/>
    <mergeCell ref="B664:E66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F401-15DF-F34A-AC21-B67A889508F9}">
  <dimension ref="A1:AE667"/>
  <sheetViews>
    <sheetView zoomScale="92" zoomScaleNormal="92" workbookViewId="0">
      <selection activeCell="L581" sqref="L581"/>
    </sheetView>
  </sheetViews>
  <sheetFormatPr baseColWidth="10" defaultColWidth="8.83203125" defaultRowHeight="15" x14ac:dyDescent="0.2"/>
  <cols>
    <col min="10" max="10" width="11.5" style="28" hidden="1" customWidth="1"/>
    <col min="11" max="11" width="0" hidden="1" customWidth="1"/>
    <col min="12" max="31" width="8.83203125" style="27"/>
  </cols>
  <sheetData>
    <row r="1" spans="1:26" ht="14.5" customHeight="1" x14ac:dyDescent="0.2">
      <c r="A1" s="37" t="s">
        <v>2153</v>
      </c>
      <c r="B1" s="37"/>
      <c r="C1" s="37"/>
      <c r="D1" s="37"/>
      <c r="E1" s="37"/>
      <c r="F1" s="37"/>
      <c r="G1" s="37"/>
      <c r="H1" s="37"/>
      <c r="I1" s="36" t="s">
        <v>1858</v>
      </c>
      <c r="M1" s="45" t="s">
        <v>2219</v>
      </c>
      <c r="N1" s="44"/>
      <c r="O1" s="44"/>
      <c r="P1" s="44"/>
      <c r="Q1" s="44"/>
      <c r="R1" s="44"/>
      <c r="S1" s="44"/>
      <c r="T1" s="44"/>
      <c r="U1" s="44"/>
      <c r="V1" s="44"/>
      <c r="W1" s="44"/>
      <c r="X1" s="44"/>
      <c r="Y1" s="44"/>
      <c r="Z1" s="44"/>
    </row>
    <row r="2" spans="1:26" ht="52.25" customHeight="1" x14ac:dyDescent="0.2">
      <c r="A2" s="35" t="s">
        <v>2152</v>
      </c>
      <c r="B2" s="35"/>
      <c r="C2" s="35"/>
      <c r="D2" s="35"/>
      <c r="E2" s="35"/>
      <c r="F2" s="35"/>
      <c r="G2" s="35"/>
      <c r="H2" s="35"/>
      <c r="I2" s="35"/>
      <c r="M2" s="44"/>
      <c r="N2" s="44"/>
      <c r="O2" s="44"/>
      <c r="P2" s="44"/>
      <c r="Q2" s="44"/>
      <c r="R2" s="44"/>
      <c r="S2" s="44"/>
      <c r="T2" s="44"/>
      <c r="U2" s="44"/>
      <c r="V2" s="44"/>
      <c r="W2" s="44"/>
      <c r="X2" s="44"/>
      <c r="Y2" s="44"/>
      <c r="Z2" s="44"/>
    </row>
    <row r="3" spans="1:26" x14ac:dyDescent="0.2">
      <c r="A3" s="35"/>
      <c r="B3" s="35"/>
      <c r="C3" s="35"/>
      <c r="D3" s="35"/>
      <c r="E3" s="35"/>
      <c r="F3" s="35"/>
      <c r="G3" s="35"/>
      <c r="H3" s="35"/>
      <c r="I3" s="35"/>
      <c r="M3" s="44"/>
      <c r="N3" s="44"/>
      <c r="O3" s="44"/>
      <c r="P3" s="44"/>
      <c r="Q3" s="44"/>
      <c r="R3" s="44"/>
      <c r="S3" s="44"/>
      <c r="T3" s="44"/>
      <c r="U3" s="44"/>
      <c r="V3" s="44"/>
      <c r="W3" s="44"/>
      <c r="X3" s="44"/>
      <c r="Y3" s="44"/>
      <c r="Z3" s="44"/>
    </row>
    <row r="4" spans="1:26" x14ac:dyDescent="0.2">
      <c r="A4" s="35"/>
      <c r="B4" s="35"/>
      <c r="C4" s="35"/>
      <c r="D4" s="35"/>
      <c r="E4" s="35"/>
      <c r="F4" s="35"/>
      <c r="G4" s="35"/>
      <c r="H4" s="35"/>
      <c r="I4" s="35"/>
      <c r="M4" s="44"/>
      <c r="N4" s="44"/>
      <c r="O4" s="44"/>
      <c r="P4" s="44"/>
      <c r="Q4" s="44"/>
      <c r="R4" s="44"/>
      <c r="S4" s="44"/>
      <c r="T4" s="44"/>
      <c r="U4" s="44"/>
      <c r="V4" s="44"/>
      <c r="W4" s="44"/>
      <c r="X4" s="44"/>
      <c r="Y4" s="44"/>
      <c r="Z4" s="44"/>
    </row>
    <row r="5" spans="1:26" ht="51" customHeight="1" x14ac:dyDescent="0.2">
      <c r="A5" s="35"/>
      <c r="B5" s="35"/>
      <c r="C5" s="35"/>
      <c r="D5" s="35"/>
      <c r="E5" s="35"/>
      <c r="F5" s="35"/>
      <c r="G5" s="35"/>
      <c r="H5" s="35"/>
      <c r="I5" s="35"/>
      <c r="M5" s="44"/>
      <c r="N5" s="44"/>
      <c r="O5" s="44"/>
      <c r="P5" s="44"/>
      <c r="Q5" s="44"/>
      <c r="R5" s="44"/>
      <c r="S5" s="44"/>
      <c r="T5" s="44"/>
      <c r="U5" s="44"/>
      <c r="V5" s="44"/>
      <c r="W5" s="44"/>
      <c r="X5" s="44"/>
      <c r="Y5" s="44"/>
      <c r="Z5" s="44"/>
    </row>
    <row r="6" spans="1:26" ht="16" x14ac:dyDescent="0.2">
      <c r="A6" s="42" t="s">
        <v>0</v>
      </c>
      <c r="B6" s="41" t="s">
        <v>2151</v>
      </c>
      <c r="C6" s="41"/>
      <c r="D6" s="41"/>
      <c r="E6" s="41"/>
      <c r="F6" s="41"/>
      <c r="G6" s="41"/>
      <c r="H6" s="41"/>
      <c r="I6" s="40" t="s">
        <v>2154</v>
      </c>
      <c r="J6" s="28">
        <f>IF(ISNUMBER(SEARCH("x",I6)),1,0)</f>
        <v>1</v>
      </c>
      <c r="K6" s="19">
        <f>SUM(J6:J9)</f>
        <v>1</v>
      </c>
      <c r="M6" s="44"/>
      <c r="N6" s="44"/>
      <c r="O6" s="44"/>
      <c r="P6" s="44"/>
      <c r="Q6" s="44"/>
      <c r="R6" s="44"/>
      <c r="S6" s="44"/>
      <c r="T6" s="44"/>
      <c r="U6" s="44"/>
      <c r="V6" s="44"/>
      <c r="W6" s="44"/>
      <c r="X6" s="44"/>
      <c r="Y6" s="44"/>
      <c r="Z6" s="44"/>
    </row>
    <row r="7" spans="1:26" ht="16" x14ac:dyDescent="0.2">
      <c r="A7" s="34" t="s">
        <v>1</v>
      </c>
      <c r="B7" s="33" t="s">
        <v>9</v>
      </c>
      <c r="C7" s="33"/>
      <c r="D7" s="33"/>
      <c r="E7" s="33"/>
      <c r="F7" s="33"/>
      <c r="G7" s="33"/>
      <c r="H7" s="33"/>
      <c r="J7" s="38">
        <v>0</v>
      </c>
      <c r="K7" s="19"/>
      <c r="M7" s="44"/>
      <c r="N7" s="44"/>
      <c r="O7" s="44"/>
      <c r="P7" s="44"/>
      <c r="Q7" s="44"/>
      <c r="R7" s="44"/>
      <c r="S7" s="44"/>
      <c r="T7" s="44"/>
      <c r="U7" s="44"/>
      <c r="V7" s="44"/>
      <c r="W7" s="44"/>
      <c r="X7" s="44"/>
      <c r="Y7" s="44"/>
      <c r="Z7" s="44"/>
    </row>
    <row r="8" spans="1:26" ht="16" x14ac:dyDescent="0.2">
      <c r="A8" s="34" t="s">
        <v>2</v>
      </c>
      <c r="B8" s="33" t="s">
        <v>74</v>
      </c>
      <c r="C8" s="33"/>
      <c r="D8" s="33"/>
      <c r="E8" s="33"/>
      <c r="F8" s="33"/>
      <c r="G8" s="33"/>
      <c r="H8" s="33"/>
      <c r="J8" s="38">
        <v>0</v>
      </c>
      <c r="K8" s="19"/>
      <c r="M8" s="44"/>
      <c r="N8" s="44"/>
      <c r="O8" s="44"/>
      <c r="P8" s="44"/>
      <c r="Q8" s="44"/>
      <c r="R8" s="44"/>
      <c r="S8" s="44"/>
      <c r="T8" s="44"/>
      <c r="U8" s="44"/>
      <c r="V8" s="44"/>
      <c r="W8" s="44"/>
      <c r="X8" s="44"/>
      <c r="Y8" s="44"/>
      <c r="Z8" s="44"/>
    </row>
    <row r="9" spans="1:26" ht="16" x14ac:dyDescent="0.2">
      <c r="A9" s="34" t="s">
        <v>3</v>
      </c>
      <c r="B9" s="33" t="s">
        <v>2150</v>
      </c>
      <c r="C9" s="33"/>
      <c r="D9" s="33"/>
      <c r="E9" s="33"/>
      <c r="F9" s="33"/>
      <c r="G9" s="33"/>
      <c r="H9" s="33"/>
      <c r="J9" s="38">
        <v>0</v>
      </c>
      <c r="K9" s="19"/>
      <c r="M9" s="44"/>
      <c r="N9" s="44"/>
      <c r="O9" s="44"/>
      <c r="P9" s="44"/>
      <c r="Q9" s="44"/>
      <c r="R9" s="44"/>
      <c r="S9" s="44"/>
      <c r="T9" s="44"/>
      <c r="U9" s="44"/>
      <c r="V9" s="44"/>
      <c r="W9" s="44"/>
      <c r="X9" s="44"/>
      <c r="Y9" s="44"/>
      <c r="Z9" s="44"/>
    </row>
    <row r="10" spans="1:26" s="27" customFormat="1" x14ac:dyDescent="0.2"/>
    <row r="11" spans="1:26" ht="26.5" customHeight="1" x14ac:dyDescent="0.2">
      <c r="A11" s="37" t="s">
        <v>2149</v>
      </c>
      <c r="B11" s="37"/>
      <c r="C11" s="37"/>
      <c r="D11" s="37"/>
      <c r="E11" s="37"/>
      <c r="F11" s="37"/>
      <c r="G11" s="37"/>
      <c r="H11" s="37"/>
      <c r="I11" s="36" t="s">
        <v>1858</v>
      </c>
      <c r="M11" s="45" t="s">
        <v>2218</v>
      </c>
      <c r="N11" s="45"/>
      <c r="O11" s="45"/>
      <c r="P11" s="45"/>
      <c r="Q11" s="45"/>
      <c r="R11" s="45"/>
      <c r="S11" s="45"/>
      <c r="T11" s="45"/>
      <c r="U11" s="45"/>
      <c r="V11" s="45"/>
      <c r="W11" s="45"/>
      <c r="X11" s="45"/>
      <c r="Y11" s="45"/>
      <c r="Z11" s="45"/>
    </row>
    <row r="12" spans="1:26" x14ac:dyDescent="0.2">
      <c r="A12" s="35" t="s">
        <v>2148</v>
      </c>
      <c r="B12" s="35"/>
      <c r="C12" s="35"/>
      <c r="D12" s="35"/>
      <c r="E12" s="35"/>
      <c r="F12" s="35"/>
      <c r="G12" s="35"/>
      <c r="H12" s="35"/>
      <c r="I12" s="35"/>
      <c r="M12" s="45"/>
      <c r="N12" s="45"/>
      <c r="O12" s="45"/>
      <c r="P12" s="45"/>
      <c r="Q12" s="45"/>
      <c r="R12" s="45"/>
      <c r="S12" s="45"/>
      <c r="T12" s="45"/>
      <c r="U12" s="45"/>
      <c r="V12" s="45"/>
      <c r="W12" s="45"/>
      <c r="X12" s="45"/>
      <c r="Y12" s="45"/>
      <c r="Z12" s="45"/>
    </row>
    <row r="13" spans="1:26" ht="72.5" customHeight="1" x14ac:dyDescent="0.2">
      <c r="A13" s="35"/>
      <c r="B13" s="35"/>
      <c r="C13" s="35"/>
      <c r="D13" s="35"/>
      <c r="E13" s="35"/>
      <c r="F13" s="35"/>
      <c r="G13" s="35"/>
      <c r="H13" s="35"/>
      <c r="I13" s="35"/>
      <c r="M13" s="45"/>
      <c r="N13" s="45"/>
      <c r="O13" s="45"/>
      <c r="P13" s="45"/>
      <c r="Q13" s="45"/>
      <c r="R13" s="45"/>
      <c r="S13" s="45"/>
      <c r="T13" s="45"/>
      <c r="U13" s="45"/>
      <c r="V13" s="45"/>
      <c r="W13" s="45"/>
      <c r="X13" s="45"/>
      <c r="Y13" s="45"/>
      <c r="Z13" s="45"/>
    </row>
    <row r="14" spans="1:26" ht="19.25" customHeight="1" x14ac:dyDescent="0.2">
      <c r="A14" s="35"/>
      <c r="B14" s="35"/>
      <c r="C14" s="35"/>
      <c r="D14" s="35"/>
      <c r="E14" s="35"/>
      <c r="F14" s="35"/>
      <c r="G14" s="35"/>
      <c r="H14" s="35"/>
      <c r="I14" s="35"/>
      <c r="M14" s="45"/>
      <c r="N14" s="45"/>
      <c r="O14" s="45"/>
      <c r="P14" s="45"/>
      <c r="Q14" s="45"/>
      <c r="R14" s="45"/>
      <c r="S14" s="45"/>
      <c r="T14" s="45"/>
      <c r="U14" s="45"/>
      <c r="V14" s="45"/>
      <c r="W14" s="45"/>
      <c r="X14" s="45"/>
      <c r="Y14" s="45"/>
      <c r="Z14" s="45"/>
    </row>
    <row r="15" spans="1:26" ht="28.75" customHeight="1" x14ac:dyDescent="0.2">
      <c r="A15" s="35"/>
      <c r="B15" s="35"/>
      <c r="C15" s="35"/>
      <c r="D15" s="35"/>
      <c r="E15" s="35"/>
      <c r="F15" s="35"/>
      <c r="G15" s="35"/>
      <c r="H15" s="35"/>
      <c r="I15" s="35"/>
      <c r="M15" s="45"/>
      <c r="N15" s="45"/>
      <c r="O15" s="45"/>
      <c r="P15" s="45"/>
      <c r="Q15" s="45"/>
      <c r="R15" s="45"/>
      <c r="S15" s="45"/>
      <c r="T15" s="45"/>
      <c r="U15" s="45"/>
      <c r="V15" s="45"/>
      <c r="W15" s="45"/>
      <c r="X15" s="45"/>
      <c r="Y15" s="45"/>
      <c r="Z15" s="45"/>
    </row>
    <row r="16" spans="1:26" ht="16" x14ac:dyDescent="0.2">
      <c r="A16" s="42" t="s">
        <v>0</v>
      </c>
      <c r="B16" s="41" t="s">
        <v>2147</v>
      </c>
      <c r="C16" s="41"/>
      <c r="D16" s="41"/>
      <c r="E16" s="41"/>
      <c r="F16" s="41"/>
      <c r="G16" s="41"/>
      <c r="H16" s="41"/>
      <c r="I16" s="40" t="s">
        <v>2154</v>
      </c>
      <c r="J16" s="28">
        <f>IF(ISNUMBER(SEARCH("x",I16)),0.5,0)</f>
        <v>0.5</v>
      </c>
      <c r="K16" s="19">
        <f>MAX(SUM(J16:J20),0)</f>
        <v>1</v>
      </c>
      <c r="M16" s="45"/>
      <c r="N16" s="45"/>
      <c r="O16" s="45"/>
      <c r="P16" s="45"/>
      <c r="Q16" s="45"/>
      <c r="R16" s="45"/>
      <c r="S16" s="45"/>
      <c r="T16" s="45"/>
      <c r="U16" s="45"/>
      <c r="V16" s="45"/>
      <c r="W16" s="45"/>
      <c r="X16" s="45"/>
      <c r="Y16" s="45"/>
      <c r="Z16" s="45"/>
    </row>
    <row r="17" spans="1:26" ht="16" x14ac:dyDescent="0.2">
      <c r="A17" s="34" t="s">
        <v>1</v>
      </c>
      <c r="B17" s="33" t="s">
        <v>2146</v>
      </c>
      <c r="C17" s="33"/>
      <c r="D17" s="33"/>
      <c r="E17" s="33"/>
      <c r="F17" s="33"/>
      <c r="G17" s="33"/>
      <c r="H17" s="33"/>
      <c r="J17" s="28">
        <f>IF(ISNUMBER(SEARCH("x",I17)),-0.5,0)</f>
        <v>0</v>
      </c>
      <c r="K17" s="19"/>
      <c r="M17" s="45"/>
      <c r="N17" s="45"/>
      <c r="O17" s="45"/>
      <c r="P17" s="45"/>
      <c r="Q17" s="45"/>
      <c r="R17" s="45"/>
      <c r="S17" s="45"/>
      <c r="T17" s="45"/>
      <c r="U17" s="45"/>
      <c r="V17" s="45"/>
      <c r="W17" s="45"/>
      <c r="X17" s="45"/>
      <c r="Y17" s="45"/>
      <c r="Z17" s="45"/>
    </row>
    <row r="18" spans="1:26" ht="16" x14ac:dyDescent="0.2">
      <c r="A18" s="42" t="s">
        <v>2</v>
      </c>
      <c r="B18" s="41" t="s">
        <v>2145</v>
      </c>
      <c r="C18" s="41"/>
      <c r="D18" s="41"/>
      <c r="E18" s="41"/>
      <c r="F18" s="41"/>
      <c r="G18" s="41"/>
      <c r="H18" s="41"/>
      <c r="I18" s="40" t="s">
        <v>2154</v>
      </c>
      <c r="J18" s="28">
        <f>IF(ISNUMBER(SEARCH("x",I18)),0.5,0)</f>
        <v>0.5</v>
      </c>
      <c r="K18" s="19"/>
      <c r="M18" s="45"/>
      <c r="N18" s="45"/>
      <c r="O18" s="45"/>
      <c r="P18" s="45"/>
      <c r="Q18" s="45"/>
      <c r="R18" s="45"/>
      <c r="S18" s="45"/>
      <c r="T18" s="45"/>
      <c r="U18" s="45"/>
      <c r="V18" s="45"/>
      <c r="W18" s="45"/>
      <c r="X18" s="45"/>
      <c r="Y18" s="45"/>
      <c r="Z18" s="45"/>
    </row>
    <row r="19" spans="1:26" ht="16" x14ac:dyDescent="0.2">
      <c r="A19" s="34" t="s">
        <v>3</v>
      </c>
      <c r="B19" s="33" t="s">
        <v>2144</v>
      </c>
      <c r="C19" s="33"/>
      <c r="D19" s="33"/>
      <c r="E19" s="33"/>
      <c r="F19" s="33"/>
      <c r="G19" s="33"/>
      <c r="H19" s="33"/>
      <c r="J19" s="28">
        <f>IF(ISNUMBER(SEARCH("x",I19)),-0.5,0)</f>
        <v>0</v>
      </c>
      <c r="K19" s="19"/>
      <c r="M19" s="45"/>
      <c r="N19" s="45"/>
      <c r="O19" s="45"/>
      <c r="P19" s="45"/>
      <c r="Q19" s="45"/>
      <c r="R19" s="45"/>
      <c r="S19" s="45"/>
      <c r="T19" s="45"/>
      <c r="U19" s="45"/>
      <c r="V19" s="45"/>
      <c r="W19" s="45"/>
      <c r="X19" s="45"/>
      <c r="Y19" s="45"/>
      <c r="Z19" s="45"/>
    </row>
    <row r="20" spans="1:26" ht="16" x14ac:dyDescent="0.2">
      <c r="A20" s="34" t="s">
        <v>6</v>
      </c>
      <c r="B20" s="33" t="s">
        <v>2143</v>
      </c>
      <c r="C20" s="33"/>
      <c r="D20" s="33"/>
      <c r="E20" s="33"/>
      <c r="F20" s="33"/>
      <c r="G20" s="33"/>
      <c r="H20" s="33"/>
      <c r="J20" s="28">
        <f>IF(ISNUMBER(SEARCH("x",I20)),-0.5,0)</f>
        <v>0</v>
      </c>
      <c r="K20" s="19"/>
      <c r="M20" s="45"/>
      <c r="N20" s="45"/>
      <c r="O20" s="45"/>
      <c r="P20" s="45"/>
      <c r="Q20" s="45"/>
      <c r="R20" s="45"/>
      <c r="S20" s="45"/>
      <c r="T20" s="45"/>
      <c r="U20" s="45"/>
      <c r="V20" s="45"/>
      <c r="W20" s="45"/>
      <c r="X20" s="45"/>
      <c r="Y20" s="45"/>
      <c r="Z20" s="45"/>
    </row>
    <row r="21" spans="1:26" s="27" customFormat="1" x14ac:dyDescent="0.2"/>
    <row r="22" spans="1:26" x14ac:dyDescent="0.2">
      <c r="A22" s="37" t="s">
        <v>2142</v>
      </c>
      <c r="B22" s="37"/>
      <c r="C22" s="37"/>
      <c r="D22" s="37"/>
      <c r="E22" s="37"/>
      <c r="F22" s="37"/>
      <c r="G22" s="37"/>
      <c r="H22" s="37"/>
      <c r="I22" s="36" t="s">
        <v>1858</v>
      </c>
      <c r="M22" s="45" t="s">
        <v>2217</v>
      </c>
      <c r="N22" s="44"/>
      <c r="O22" s="44"/>
      <c r="P22" s="44"/>
      <c r="Q22" s="44"/>
      <c r="R22" s="44"/>
      <c r="S22" s="44"/>
      <c r="T22" s="44"/>
      <c r="U22" s="44"/>
      <c r="V22" s="44"/>
      <c r="W22" s="44"/>
      <c r="X22" s="44"/>
      <c r="Y22" s="44"/>
      <c r="Z22" s="44"/>
    </row>
    <row r="23" spans="1:26" x14ac:dyDescent="0.2">
      <c r="A23" s="35" t="s">
        <v>2141</v>
      </c>
      <c r="B23" s="35"/>
      <c r="C23" s="35"/>
      <c r="D23" s="35"/>
      <c r="E23" s="35"/>
      <c r="F23" s="35"/>
      <c r="G23" s="35"/>
      <c r="H23" s="35"/>
      <c r="I23" s="35"/>
      <c r="M23" s="44"/>
      <c r="N23" s="44"/>
      <c r="O23" s="44"/>
      <c r="P23" s="44"/>
      <c r="Q23" s="44"/>
      <c r="R23" s="44"/>
      <c r="S23" s="44"/>
      <c r="T23" s="44"/>
      <c r="U23" s="44"/>
      <c r="V23" s="44"/>
      <c r="W23" s="44"/>
      <c r="X23" s="44"/>
      <c r="Y23" s="44"/>
      <c r="Z23" s="44"/>
    </row>
    <row r="24" spans="1:26" x14ac:dyDescent="0.2">
      <c r="A24" s="35"/>
      <c r="B24" s="35"/>
      <c r="C24" s="35"/>
      <c r="D24" s="35"/>
      <c r="E24" s="35"/>
      <c r="F24" s="35"/>
      <c r="G24" s="35"/>
      <c r="H24" s="35"/>
      <c r="I24" s="35"/>
      <c r="M24" s="44"/>
      <c r="N24" s="44"/>
      <c r="O24" s="44"/>
      <c r="P24" s="44"/>
      <c r="Q24" s="44"/>
      <c r="R24" s="44"/>
      <c r="S24" s="44"/>
      <c r="T24" s="44"/>
      <c r="U24" s="44"/>
      <c r="V24" s="44"/>
      <c r="W24" s="44"/>
      <c r="X24" s="44"/>
      <c r="Y24" s="44"/>
      <c r="Z24" s="44"/>
    </row>
    <row r="25" spans="1:26" ht="46.25" customHeight="1" x14ac:dyDescent="0.2">
      <c r="A25" s="35"/>
      <c r="B25" s="35"/>
      <c r="C25" s="35"/>
      <c r="D25" s="35"/>
      <c r="E25" s="35"/>
      <c r="F25" s="35"/>
      <c r="G25" s="35"/>
      <c r="H25" s="35"/>
      <c r="I25" s="35"/>
      <c r="M25" s="44"/>
      <c r="N25" s="44"/>
      <c r="O25" s="44"/>
      <c r="P25" s="44"/>
      <c r="Q25" s="44"/>
      <c r="R25" s="44"/>
      <c r="S25" s="44"/>
      <c r="T25" s="44"/>
      <c r="U25" s="44"/>
      <c r="V25" s="44"/>
      <c r="W25" s="44"/>
      <c r="X25" s="44"/>
      <c r="Y25" s="44"/>
      <c r="Z25" s="44"/>
    </row>
    <row r="26" spans="1:26" ht="79.75" customHeight="1" x14ac:dyDescent="0.2">
      <c r="A26" s="35"/>
      <c r="B26" s="35"/>
      <c r="C26" s="35"/>
      <c r="D26" s="35"/>
      <c r="E26" s="35"/>
      <c r="F26" s="35"/>
      <c r="G26" s="35"/>
      <c r="H26" s="35"/>
      <c r="I26" s="35"/>
      <c r="M26" s="44"/>
      <c r="N26" s="44"/>
      <c r="O26" s="44"/>
      <c r="P26" s="44"/>
      <c r="Q26" s="44"/>
      <c r="R26" s="44"/>
      <c r="S26" s="44"/>
      <c r="T26" s="44"/>
      <c r="U26" s="44"/>
      <c r="V26" s="44"/>
      <c r="W26" s="44"/>
      <c r="X26" s="44"/>
      <c r="Y26" s="44"/>
      <c r="Z26" s="44"/>
    </row>
    <row r="27" spans="1:26" ht="16" x14ac:dyDescent="0.2">
      <c r="A27" s="48" t="s">
        <v>0</v>
      </c>
      <c r="B27" s="47" t="s">
        <v>1138</v>
      </c>
      <c r="C27" s="47"/>
      <c r="D27" s="47"/>
      <c r="E27" s="47"/>
      <c r="F27" s="47"/>
      <c r="G27" s="47"/>
      <c r="H27" s="47"/>
      <c r="I27" s="46" t="s">
        <v>2154</v>
      </c>
      <c r="J27" s="28">
        <f>IF(ISNUMBER(SEARCH("x",I27)),1,0)</f>
        <v>1</v>
      </c>
      <c r="K27" s="19">
        <f>SUM(J27:J30)</f>
        <v>1</v>
      </c>
      <c r="M27" s="44"/>
      <c r="N27" s="44"/>
      <c r="O27" s="44"/>
      <c r="P27" s="44"/>
      <c r="Q27" s="44"/>
      <c r="R27" s="44"/>
      <c r="S27" s="44"/>
      <c r="T27" s="44"/>
      <c r="U27" s="44"/>
      <c r="V27" s="44"/>
      <c r="W27" s="44"/>
      <c r="X27" s="44"/>
      <c r="Y27" s="44"/>
      <c r="Z27" s="44"/>
    </row>
    <row r="28" spans="1:26" ht="16" x14ac:dyDescent="0.2">
      <c r="A28" s="34" t="s">
        <v>1</v>
      </c>
      <c r="B28" s="33" t="s">
        <v>41</v>
      </c>
      <c r="C28" s="33"/>
      <c r="D28" s="33"/>
      <c r="E28" s="33"/>
      <c r="F28" s="33"/>
      <c r="G28" s="33"/>
      <c r="H28" s="33"/>
      <c r="J28" s="38">
        <v>0</v>
      </c>
      <c r="K28" s="19"/>
      <c r="M28" s="44"/>
      <c r="N28" s="44"/>
      <c r="O28" s="44"/>
      <c r="P28" s="44"/>
      <c r="Q28" s="44"/>
      <c r="R28" s="44"/>
      <c r="S28" s="44"/>
      <c r="T28" s="44"/>
      <c r="U28" s="44"/>
      <c r="V28" s="44"/>
      <c r="W28" s="44"/>
      <c r="X28" s="44"/>
      <c r="Y28" s="44"/>
      <c r="Z28" s="44"/>
    </row>
    <row r="29" spans="1:26" ht="16" x14ac:dyDescent="0.2">
      <c r="A29" s="34" t="s">
        <v>2</v>
      </c>
      <c r="B29" s="33" t="s">
        <v>1531</v>
      </c>
      <c r="C29" s="33"/>
      <c r="D29" s="33"/>
      <c r="E29" s="33"/>
      <c r="F29" s="33"/>
      <c r="G29" s="33"/>
      <c r="H29" s="33"/>
      <c r="J29" s="38">
        <v>0</v>
      </c>
      <c r="K29" s="19"/>
      <c r="M29" s="44"/>
      <c r="N29" s="44"/>
      <c r="O29" s="44"/>
      <c r="P29" s="44"/>
      <c r="Q29" s="44"/>
      <c r="R29" s="44"/>
      <c r="S29" s="44"/>
      <c r="T29" s="44"/>
      <c r="U29" s="44"/>
      <c r="V29" s="44"/>
      <c r="W29" s="44"/>
      <c r="X29" s="44"/>
      <c r="Y29" s="44"/>
      <c r="Z29" s="44"/>
    </row>
    <row r="30" spans="1:26" ht="16" x14ac:dyDescent="0.2">
      <c r="A30" s="34" t="s">
        <v>3</v>
      </c>
      <c r="B30" s="33" t="s">
        <v>2140</v>
      </c>
      <c r="C30" s="33"/>
      <c r="D30" s="33"/>
      <c r="E30" s="33"/>
      <c r="F30" s="33"/>
      <c r="G30" s="33"/>
      <c r="H30" s="33"/>
      <c r="J30" s="38">
        <v>0</v>
      </c>
      <c r="K30" s="19"/>
      <c r="M30" s="44"/>
      <c r="N30" s="44"/>
      <c r="O30" s="44"/>
      <c r="P30" s="44"/>
      <c r="Q30" s="44"/>
      <c r="R30" s="44"/>
      <c r="S30" s="44"/>
      <c r="T30" s="44"/>
      <c r="U30" s="44"/>
      <c r="V30" s="44"/>
      <c r="W30" s="44"/>
      <c r="X30" s="44"/>
      <c r="Y30" s="44"/>
      <c r="Z30" s="44"/>
    </row>
    <row r="31" spans="1:26" s="27" customFormat="1" x14ac:dyDescent="0.2"/>
    <row r="32" spans="1:26" x14ac:dyDescent="0.2">
      <c r="A32" s="37" t="s">
        <v>2139</v>
      </c>
      <c r="B32" s="37"/>
      <c r="C32" s="37"/>
      <c r="D32" s="37"/>
      <c r="E32" s="37"/>
      <c r="F32" s="37"/>
      <c r="G32" s="37"/>
      <c r="H32" s="37"/>
      <c r="I32" s="36" t="s">
        <v>1858</v>
      </c>
      <c r="M32" s="45" t="s">
        <v>2216</v>
      </c>
      <c r="N32" s="45"/>
      <c r="O32" s="45"/>
      <c r="P32" s="45"/>
      <c r="Q32" s="45"/>
      <c r="R32" s="45"/>
      <c r="S32" s="45"/>
      <c r="T32" s="45"/>
      <c r="U32" s="45"/>
      <c r="V32" s="45"/>
      <c r="W32" s="45"/>
      <c r="X32" s="45"/>
      <c r="Y32" s="45"/>
      <c r="Z32" s="45"/>
    </row>
    <row r="33" spans="1:26" x14ac:dyDescent="0.2">
      <c r="A33" s="35" t="s">
        <v>2138</v>
      </c>
      <c r="B33" s="35"/>
      <c r="C33" s="35"/>
      <c r="D33" s="35"/>
      <c r="E33" s="35"/>
      <c r="F33" s="35"/>
      <c r="G33" s="35"/>
      <c r="H33" s="35"/>
      <c r="I33" s="35"/>
      <c r="M33" s="45"/>
      <c r="N33" s="45"/>
      <c r="O33" s="45"/>
      <c r="P33" s="45"/>
      <c r="Q33" s="45"/>
      <c r="R33" s="45"/>
      <c r="S33" s="45"/>
      <c r="T33" s="45"/>
      <c r="U33" s="45"/>
      <c r="V33" s="45"/>
      <c r="W33" s="45"/>
      <c r="X33" s="45"/>
      <c r="Y33" s="45"/>
      <c r="Z33" s="45"/>
    </row>
    <row r="34" spans="1:26" ht="53.5" customHeight="1" x14ac:dyDescent="0.2">
      <c r="A34" s="35"/>
      <c r="B34" s="35"/>
      <c r="C34" s="35"/>
      <c r="D34" s="35"/>
      <c r="E34" s="35"/>
      <c r="F34" s="35"/>
      <c r="G34" s="35"/>
      <c r="H34" s="35"/>
      <c r="I34" s="35"/>
      <c r="M34" s="45"/>
      <c r="N34" s="45"/>
      <c r="O34" s="45"/>
      <c r="P34" s="45"/>
      <c r="Q34" s="45"/>
      <c r="R34" s="45"/>
      <c r="S34" s="45"/>
      <c r="T34" s="45"/>
      <c r="U34" s="45"/>
      <c r="V34" s="45"/>
      <c r="W34" s="45"/>
      <c r="X34" s="45"/>
      <c r="Y34" s="45"/>
      <c r="Z34" s="45"/>
    </row>
    <row r="35" spans="1:26" x14ac:dyDescent="0.2">
      <c r="A35" s="35"/>
      <c r="B35" s="35"/>
      <c r="C35" s="35"/>
      <c r="D35" s="35"/>
      <c r="E35" s="35"/>
      <c r="F35" s="35"/>
      <c r="G35" s="35"/>
      <c r="H35" s="35"/>
      <c r="I35" s="35"/>
      <c r="M35" s="45"/>
      <c r="N35" s="45"/>
      <c r="O35" s="45"/>
      <c r="P35" s="45"/>
      <c r="Q35" s="45"/>
      <c r="R35" s="45"/>
      <c r="S35" s="45"/>
      <c r="T35" s="45"/>
      <c r="U35" s="45"/>
      <c r="V35" s="45"/>
      <c r="W35" s="45"/>
      <c r="X35" s="45"/>
      <c r="Y35" s="45"/>
      <c r="Z35" s="45"/>
    </row>
    <row r="36" spans="1:26" x14ac:dyDescent="0.2">
      <c r="A36" s="35"/>
      <c r="B36" s="35"/>
      <c r="C36" s="35"/>
      <c r="D36" s="35"/>
      <c r="E36" s="35"/>
      <c r="F36" s="35"/>
      <c r="G36" s="35"/>
      <c r="H36" s="35"/>
      <c r="I36" s="35"/>
      <c r="M36" s="45"/>
      <c r="N36" s="45"/>
      <c r="O36" s="45"/>
      <c r="P36" s="45"/>
      <c r="Q36" s="45"/>
      <c r="R36" s="45"/>
      <c r="S36" s="45"/>
      <c r="T36" s="45"/>
      <c r="U36" s="45"/>
      <c r="V36" s="45"/>
      <c r="W36" s="45"/>
      <c r="X36" s="45"/>
      <c r="Y36" s="45"/>
      <c r="Z36" s="45"/>
    </row>
    <row r="37" spans="1:26" ht="16" x14ac:dyDescent="0.2">
      <c r="A37" s="42" t="s">
        <v>0</v>
      </c>
      <c r="B37" s="41" t="s">
        <v>2137</v>
      </c>
      <c r="C37" s="41"/>
      <c r="D37" s="41"/>
      <c r="E37" s="41"/>
      <c r="F37" s="41"/>
      <c r="G37" s="41"/>
      <c r="H37" s="41"/>
      <c r="I37" s="40" t="s">
        <v>2154</v>
      </c>
      <c r="J37" s="28">
        <f>IF(ISNUMBER(SEARCH("x",I37)),0.5,0)</f>
        <v>0.5</v>
      </c>
      <c r="K37" s="19">
        <f>MAX(SUM(J37:J41),0)</f>
        <v>1</v>
      </c>
      <c r="M37" s="45"/>
      <c r="N37" s="45"/>
      <c r="O37" s="45"/>
      <c r="P37" s="45"/>
      <c r="Q37" s="45"/>
      <c r="R37" s="45"/>
      <c r="S37" s="45"/>
      <c r="T37" s="45"/>
      <c r="U37" s="45"/>
      <c r="V37" s="45"/>
      <c r="W37" s="45"/>
      <c r="X37" s="45"/>
      <c r="Y37" s="45"/>
      <c r="Z37" s="45"/>
    </row>
    <row r="38" spans="1:26" ht="16" x14ac:dyDescent="0.2">
      <c r="A38" s="34" t="s">
        <v>1</v>
      </c>
      <c r="B38" s="33" t="s">
        <v>2136</v>
      </c>
      <c r="C38" s="33"/>
      <c r="D38" s="33"/>
      <c r="E38" s="33"/>
      <c r="F38" s="33"/>
      <c r="G38" s="33"/>
      <c r="H38" s="33"/>
      <c r="J38" s="28">
        <f>IF(ISNUMBER(SEARCH("x",I38)),-0.5,0)</f>
        <v>0</v>
      </c>
      <c r="K38" s="19"/>
      <c r="M38" s="45"/>
      <c r="N38" s="45"/>
      <c r="O38" s="45"/>
      <c r="P38" s="45"/>
      <c r="Q38" s="45"/>
      <c r="R38" s="45"/>
      <c r="S38" s="45"/>
      <c r="T38" s="45"/>
      <c r="U38" s="45"/>
      <c r="V38" s="45"/>
      <c r="W38" s="45"/>
      <c r="X38" s="45"/>
      <c r="Y38" s="45"/>
      <c r="Z38" s="45"/>
    </row>
    <row r="39" spans="1:26" ht="16" x14ac:dyDescent="0.2">
      <c r="A39" s="34" t="s">
        <v>2</v>
      </c>
      <c r="B39" s="33" t="s">
        <v>2135</v>
      </c>
      <c r="C39" s="33"/>
      <c r="D39" s="33"/>
      <c r="E39" s="33"/>
      <c r="F39" s="33"/>
      <c r="G39" s="33"/>
      <c r="H39" s="33"/>
      <c r="J39" s="28">
        <f>IF(ISNUMBER(SEARCH("x",I39)),-0.5,0)</f>
        <v>0</v>
      </c>
      <c r="K39" s="19"/>
      <c r="M39" s="45"/>
      <c r="N39" s="45"/>
      <c r="O39" s="45"/>
      <c r="P39" s="45"/>
      <c r="Q39" s="45"/>
      <c r="R39" s="45"/>
      <c r="S39" s="45"/>
      <c r="T39" s="45"/>
      <c r="U39" s="45"/>
      <c r="V39" s="45"/>
      <c r="W39" s="45"/>
      <c r="X39" s="45"/>
      <c r="Y39" s="45"/>
      <c r="Z39" s="45"/>
    </row>
    <row r="40" spans="1:26" ht="16" x14ac:dyDescent="0.2">
      <c r="A40" s="42" t="s">
        <v>3</v>
      </c>
      <c r="B40" s="41" t="s">
        <v>2134</v>
      </c>
      <c r="C40" s="41"/>
      <c r="D40" s="41"/>
      <c r="E40" s="41"/>
      <c r="F40" s="41"/>
      <c r="G40" s="41"/>
      <c r="H40" s="41"/>
      <c r="I40" s="40" t="s">
        <v>2154</v>
      </c>
      <c r="J40" s="28">
        <f>IF(ISNUMBER(SEARCH("x",I40)),0.5,0)</f>
        <v>0.5</v>
      </c>
      <c r="K40" s="19"/>
      <c r="M40" s="45"/>
      <c r="N40" s="45"/>
      <c r="O40" s="45"/>
      <c r="P40" s="45"/>
      <c r="Q40" s="45"/>
      <c r="R40" s="45"/>
      <c r="S40" s="45"/>
      <c r="T40" s="45"/>
      <c r="U40" s="45"/>
      <c r="V40" s="45"/>
      <c r="W40" s="45"/>
      <c r="X40" s="45"/>
      <c r="Y40" s="45"/>
      <c r="Z40" s="45"/>
    </row>
    <row r="41" spans="1:26" ht="16" x14ac:dyDescent="0.2">
      <c r="A41" s="34" t="s">
        <v>6</v>
      </c>
      <c r="B41" s="33" t="s">
        <v>2133</v>
      </c>
      <c r="C41" s="33"/>
      <c r="D41" s="33"/>
      <c r="E41" s="33"/>
      <c r="F41" s="33"/>
      <c r="G41" s="33"/>
      <c r="H41" s="33"/>
      <c r="J41" s="28">
        <f>IF(ISNUMBER(SEARCH("x",I41)),-0.5,0)</f>
        <v>0</v>
      </c>
      <c r="K41" s="19"/>
      <c r="M41" s="45"/>
      <c r="N41" s="45"/>
      <c r="O41" s="45"/>
      <c r="P41" s="45"/>
      <c r="Q41" s="45"/>
      <c r="R41" s="45"/>
      <c r="S41" s="45"/>
      <c r="T41" s="45"/>
      <c r="U41" s="45"/>
      <c r="V41" s="45"/>
      <c r="W41" s="45"/>
      <c r="X41" s="45"/>
      <c r="Y41" s="45"/>
      <c r="Z41" s="45"/>
    </row>
    <row r="42" spans="1:26" s="27" customFormat="1" x14ac:dyDescent="0.2"/>
    <row r="43" spans="1:26" x14ac:dyDescent="0.2">
      <c r="A43" s="37" t="s">
        <v>2132</v>
      </c>
      <c r="B43" s="37"/>
      <c r="C43" s="37"/>
      <c r="D43" s="37"/>
      <c r="E43" s="37"/>
      <c r="F43" s="37"/>
      <c r="G43" s="37"/>
      <c r="H43" s="37"/>
      <c r="I43" s="36" t="s">
        <v>1858</v>
      </c>
      <c r="M43" s="45" t="s">
        <v>2215</v>
      </c>
      <c r="N43" s="44"/>
      <c r="O43" s="44"/>
      <c r="P43" s="44"/>
      <c r="Q43" s="44"/>
      <c r="R43" s="44"/>
      <c r="S43" s="44"/>
      <c r="T43" s="44"/>
      <c r="U43" s="44"/>
      <c r="V43" s="44"/>
      <c r="W43" s="44"/>
      <c r="X43" s="44"/>
      <c r="Y43" s="44"/>
      <c r="Z43" s="44"/>
    </row>
    <row r="44" spans="1:26" x14ac:dyDescent="0.2">
      <c r="A44" s="35" t="s">
        <v>2131</v>
      </c>
      <c r="B44" s="35"/>
      <c r="C44" s="35"/>
      <c r="D44" s="35"/>
      <c r="E44" s="35"/>
      <c r="F44" s="35"/>
      <c r="G44" s="35"/>
      <c r="H44" s="35"/>
      <c r="I44" s="35"/>
      <c r="M44" s="44"/>
      <c r="N44" s="44"/>
      <c r="O44" s="44"/>
      <c r="P44" s="44"/>
      <c r="Q44" s="44"/>
      <c r="R44" s="44"/>
      <c r="S44" s="44"/>
      <c r="T44" s="44"/>
      <c r="U44" s="44"/>
      <c r="V44" s="44"/>
      <c r="W44" s="44"/>
      <c r="X44" s="44"/>
      <c r="Y44" s="44"/>
      <c r="Z44" s="44"/>
    </row>
    <row r="45" spans="1:26" x14ac:dyDescent="0.2">
      <c r="A45" s="35"/>
      <c r="B45" s="35"/>
      <c r="C45" s="35"/>
      <c r="D45" s="35"/>
      <c r="E45" s="35"/>
      <c r="F45" s="35"/>
      <c r="G45" s="35"/>
      <c r="H45" s="35"/>
      <c r="I45" s="35"/>
      <c r="M45" s="44"/>
      <c r="N45" s="44"/>
      <c r="O45" s="44"/>
      <c r="P45" s="44"/>
      <c r="Q45" s="44"/>
      <c r="R45" s="44"/>
      <c r="S45" s="44"/>
      <c r="T45" s="44"/>
      <c r="U45" s="44"/>
      <c r="V45" s="44"/>
      <c r="W45" s="44"/>
      <c r="X45" s="44"/>
      <c r="Y45" s="44"/>
      <c r="Z45" s="44"/>
    </row>
    <row r="46" spans="1:26" x14ac:dyDescent="0.2">
      <c r="A46" s="35"/>
      <c r="B46" s="35"/>
      <c r="C46" s="35"/>
      <c r="D46" s="35"/>
      <c r="E46" s="35"/>
      <c r="F46" s="35"/>
      <c r="G46" s="35"/>
      <c r="H46" s="35"/>
      <c r="I46" s="35"/>
      <c r="M46" s="44"/>
      <c r="N46" s="44"/>
      <c r="O46" s="44"/>
      <c r="P46" s="44"/>
      <c r="Q46" s="44"/>
      <c r="R46" s="44"/>
      <c r="S46" s="44"/>
      <c r="T46" s="44"/>
      <c r="U46" s="44"/>
      <c r="V46" s="44"/>
      <c r="W46" s="44"/>
      <c r="X46" s="44"/>
      <c r="Y46" s="44"/>
      <c r="Z46" s="44"/>
    </row>
    <row r="47" spans="1:26" ht="123" customHeight="1" x14ac:dyDescent="0.2">
      <c r="A47" s="35"/>
      <c r="B47" s="35"/>
      <c r="C47" s="35"/>
      <c r="D47" s="35"/>
      <c r="E47" s="35"/>
      <c r="F47" s="35"/>
      <c r="G47" s="35"/>
      <c r="H47" s="35"/>
      <c r="I47" s="35"/>
      <c r="M47" s="44"/>
      <c r="N47" s="44"/>
      <c r="O47" s="44"/>
      <c r="P47" s="44"/>
      <c r="Q47" s="44"/>
      <c r="R47" s="44"/>
      <c r="S47" s="44"/>
      <c r="T47" s="44"/>
      <c r="U47" s="44"/>
      <c r="V47" s="44"/>
      <c r="W47" s="44"/>
      <c r="X47" s="44"/>
      <c r="Y47" s="44"/>
      <c r="Z47" s="44"/>
    </row>
    <row r="48" spans="1:26" ht="16" x14ac:dyDescent="0.2">
      <c r="A48" s="34" t="s">
        <v>0</v>
      </c>
      <c r="B48" s="33" t="s">
        <v>19</v>
      </c>
      <c r="C48" s="33"/>
      <c r="D48" s="33"/>
      <c r="E48" s="33"/>
      <c r="F48" s="33"/>
      <c r="G48" s="33"/>
      <c r="H48" s="33"/>
      <c r="J48" s="28">
        <v>0</v>
      </c>
      <c r="K48" s="19">
        <f>SUM(J48:J51)</f>
        <v>1</v>
      </c>
      <c r="M48" s="44"/>
      <c r="N48" s="44"/>
      <c r="O48" s="44"/>
      <c r="P48" s="44"/>
      <c r="Q48" s="44"/>
      <c r="R48" s="44"/>
      <c r="S48" s="44"/>
      <c r="T48" s="44"/>
      <c r="U48" s="44"/>
      <c r="V48" s="44"/>
      <c r="W48" s="44"/>
      <c r="X48" s="44"/>
      <c r="Y48" s="44"/>
      <c r="Z48" s="44"/>
    </row>
    <row r="49" spans="1:26" ht="16" x14ac:dyDescent="0.2">
      <c r="A49" s="42" t="s">
        <v>1</v>
      </c>
      <c r="B49" s="41" t="s">
        <v>20</v>
      </c>
      <c r="C49" s="41"/>
      <c r="D49" s="41"/>
      <c r="E49" s="41"/>
      <c r="F49" s="41"/>
      <c r="G49" s="41"/>
      <c r="H49" s="41"/>
      <c r="I49" s="40" t="s">
        <v>2154</v>
      </c>
      <c r="J49" s="28">
        <f>IF(ISNUMBER(SEARCH("x",I49)),1,0)</f>
        <v>1</v>
      </c>
      <c r="K49" s="19"/>
      <c r="M49" s="44"/>
      <c r="N49" s="44"/>
      <c r="O49" s="44"/>
      <c r="P49" s="44"/>
      <c r="Q49" s="44"/>
      <c r="R49" s="44"/>
      <c r="S49" s="44"/>
      <c r="T49" s="44"/>
      <c r="U49" s="44"/>
      <c r="V49" s="44"/>
      <c r="W49" s="44"/>
      <c r="X49" s="44"/>
      <c r="Y49" s="44"/>
      <c r="Z49" s="44"/>
    </row>
    <row r="50" spans="1:26" ht="16" x14ac:dyDescent="0.2">
      <c r="A50" s="34" t="s">
        <v>2</v>
      </c>
      <c r="B50" s="33" t="s">
        <v>5</v>
      </c>
      <c r="C50" s="33"/>
      <c r="D50" s="33"/>
      <c r="E50" s="33"/>
      <c r="F50" s="33"/>
      <c r="G50" s="33"/>
      <c r="H50" s="33"/>
      <c r="J50" s="38">
        <v>0</v>
      </c>
      <c r="K50" s="19"/>
      <c r="M50" s="44"/>
      <c r="N50" s="44"/>
      <c r="O50" s="44"/>
      <c r="P50" s="44"/>
      <c r="Q50" s="44"/>
      <c r="R50" s="44"/>
      <c r="S50" s="44"/>
      <c r="T50" s="44"/>
      <c r="U50" s="44"/>
      <c r="V50" s="44"/>
      <c r="W50" s="44"/>
      <c r="X50" s="44"/>
      <c r="Y50" s="44"/>
      <c r="Z50" s="44"/>
    </row>
    <row r="51" spans="1:26" ht="16" x14ac:dyDescent="0.2">
      <c r="A51" s="34" t="s">
        <v>3</v>
      </c>
      <c r="B51" s="33" t="s">
        <v>2130</v>
      </c>
      <c r="C51" s="33"/>
      <c r="D51" s="33"/>
      <c r="E51" s="33"/>
      <c r="F51" s="33"/>
      <c r="G51" s="33"/>
      <c r="H51" s="33"/>
      <c r="J51" s="38">
        <v>0</v>
      </c>
      <c r="K51" s="19"/>
      <c r="M51" s="44"/>
      <c r="N51" s="44"/>
      <c r="O51" s="44"/>
      <c r="P51" s="44"/>
      <c r="Q51" s="44"/>
      <c r="R51" s="44"/>
      <c r="S51" s="44"/>
      <c r="T51" s="44"/>
      <c r="U51" s="44"/>
      <c r="V51" s="44"/>
      <c r="W51" s="44"/>
      <c r="X51" s="44"/>
      <c r="Y51" s="44"/>
      <c r="Z51" s="44"/>
    </row>
    <row r="52" spans="1:26" s="27" customFormat="1" x14ac:dyDescent="0.2"/>
    <row r="53" spans="1:26" x14ac:dyDescent="0.2">
      <c r="A53" s="37" t="s">
        <v>2129</v>
      </c>
      <c r="B53" s="37"/>
      <c r="C53" s="37"/>
      <c r="D53" s="37"/>
      <c r="E53" s="37"/>
      <c r="F53" s="37"/>
      <c r="G53" s="37"/>
      <c r="H53" s="37"/>
      <c r="I53" s="36" t="s">
        <v>1858</v>
      </c>
      <c r="M53" s="45" t="s">
        <v>2214</v>
      </c>
      <c r="N53" s="45"/>
      <c r="O53" s="45"/>
      <c r="P53" s="45"/>
      <c r="Q53" s="45"/>
      <c r="R53" s="45"/>
      <c r="S53" s="45"/>
      <c r="T53" s="45"/>
      <c r="U53" s="45"/>
      <c r="V53" s="45"/>
      <c r="W53" s="45"/>
      <c r="X53" s="45"/>
      <c r="Y53" s="45"/>
      <c r="Z53" s="45"/>
    </row>
    <row r="54" spans="1:26" ht="87.5" customHeight="1" x14ac:dyDescent="0.2">
      <c r="A54" s="35" t="s">
        <v>2128</v>
      </c>
      <c r="B54" s="35"/>
      <c r="C54" s="35"/>
      <c r="D54" s="35"/>
      <c r="E54" s="35"/>
      <c r="F54" s="35"/>
      <c r="G54" s="35"/>
      <c r="H54" s="35"/>
      <c r="I54" s="35"/>
      <c r="M54" s="45"/>
      <c r="N54" s="45"/>
      <c r="O54" s="45"/>
      <c r="P54" s="45"/>
      <c r="Q54" s="45"/>
      <c r="R54" s="45"/>
      <c r="S54" s="45"/>
      <c r="T54" s="45"/>
      <c r="U54" s="45"/>
      <c r="V54" s="45"/>
      <c r="W54" s="45"/>
      <c r="X54" s="45"/>
      <c r="Y54" s="45"/>
      <c r="Z54" s="45"/>
    </row>
    <row r="55" spans="1:26" x14ac:dyDescent="0.2">
      <c r="A55" s="35"/>
      <c r="B55" s="35"/>
      <c r="C55" s="35"/>
      <c r="D55" s="35"/>
      <c r="E55" s="35"/>
      <c r="F55" s="35"/>
      <c r="G55" s="35"/>
      <c r="H55" s="35"/>
      <c r="I55" s="35"/>
      <c r="M55" s="45"/>
      <c r="N55" s="45"/>
      <c r="O55" s="45"/>
      <c r="P55" s="45"/>
      <c r="Q55" s="45"/>
      <c r="R55" s="45"/>
      <c r="S55" s="45"/>
      <c r="T55" s="45"/>
      <c r="U55" s="45"/>
      <c r="V55" s="45"/>
      <c r="W55" s="45"/>
      <c r="X55" s="45"/>
      <c r="Y55" s="45"/>
      <c r="Z55" s="45"/>
    </row>
    <row r="56" spans="1:26" x14ac:dyDescent="0.2">
      <c r="A56" s="35"/>
      <c r="B56" s="35"/>
      <c r="C56" s="35"/>
      <c r="D56" s="35"/>
      <c r="E56" s="35"/>
      <c r="F56" s="35"/>
      <c r="G56" s="35"/>
      <c r="H56" s="35"/>
      <c r="I56" s="35"/>
      <c r="M56" s="45"/>
      <c r="N56" s="45"/>
      <c r="O56" s="45"/>
      <c r="P56" s="45"/>
      <c r="Q56" s="45"/>
      <c r="R56" s="45"/>
      <c r="S56" s="45"/>
      <c r="T56" s="45"/>
      <c r="U56" s="45"/>
      <c r="V56" s="45"/>
      <c r="W56" s="45"/>
      <c r="X56" s="45"/>
      <c r="Y56" s="45"/>
      <c r="Z56" s="45"/>
    </row>
    <row r="57" spans="1:26" x14ac:dyDescent="0.2">
      <c r="A57" s="35"/>
      <c r="B57" s="35"/>
      <c r="C57" s="35"/>
      <c r="D57" s="35"/>
      <c r="E57" s="35"/>
      <c r="F57" s="35"/>
      <c r="G57" s="35"/>
      <c r="H57" s="35"/>
      <c r="I57" s="35"/>
      <c r="M57" s="45"/>
      <c r="N57" s="45"/>
      <c r="O57" s="45"/>
      <c r="P57" s="45"/>
      <c r="Q57" s="45"/>
      <c r="R57" s="45"/>
      <c r="S57" s="45"/>
      <c r="T57" s="45"/>
      <c r="U57" s="45"/>
      <c r="V57" s="45"/>
      <c r="W57" s="45"/>
      <c r="X57" s="45"/>
      <c r="Y57" s="45"/>
      <c r="Z57" s="45"/>
    </row>
    <row r="58" spans="1:26" ht="16" x14ac:dyDescent="0.2">
      <c r="A58" s="34" t="s">
        <v>0</v>
      </c>
      <c r="B58" s="33" t="s">
        <v>1095</v>
      </c>
      <c r="C58" s="33"/>
      <c r="D58" s="33"/>
      <c r="E58" s="33"/>
      <c r="F58" s="33"/>
      <c r="G58" s="33"/>
      <c r="H58" s="33"/>
      <c r="J58" s="28">
        <f>IF(ISNUMBER(SEARCH("x",I58)),-0.5,0)</f>
        <v>0</v>
      </c>
      <c r="K58" s="19">
        <f>MAX(SUM(J58:J62),0)</f>
        <v>1</v>
      </c>
      <c r="M58" s="45"/>
      <c r="N58" s="45"/>
      <c r="O58" s="45"/>
      <c r="P58" s="45"/>
      <c r="Q58" s="45"/>
      <c r="R58" s="45"/>
      <c r="S58" s="45"/>
      <c r="T58" s="45"/>
      <c r="U58" s="45"/>
      <c r="V58" s="45"/>
      <c r="W58" s="45"/>
      <c r="X58" s="45"/>
      <c r="Y58" s="45"/>
      <c r="Z58" s="45"/>
    </row>
    <row r="59" spans="1:26" ht="16" x14ac:dyDescent="0.2">
      <c r="A59" s="42" t="s">
        <v>1</v>
      </c>
      <c r="B59" s="41" t="s">
        <v>43</v>
      </c>
      <c r="C59" s="41"/>
      <c r="D59" s="41"/>
      <c r="E59" s="41"/>
      <c r="F59" s="41"/>
      <c r="G59" s="41"/>
      <c r="H59" s="41"/>
      <c r="I59" s="40" t="s">
        <v>2154</v>
      </c>
      <c r="J59" s="28">
        <f>IF(ISNUMBER(SEARCH("x",I59)),0.5,0)</f>
        <v>0.5</v>
      </c>
      <c r="K59" s="19"/>
      <c r="M59" s="45"/>
      <c r="N59" s="45"/>
      <c r="O59" s="45"/>
      <c r="P59" s="45"/>
      <c r="Q59" s="45"/>
      <c r="R59" s="45"/>
      <c r="S59" s="45"/>
      <c r="T59" s="45"/>
      <c r="U59" s="45"/>
      <c r="V59" s="45"/>
      <c r="W59" s="45"/>
      <c r="X59" s="45"/>
      <c r="Y59" s="45"/>
      <c r="Z59" s="45"/>
    </row>
    <row r="60" spans="1:26" ht="16" x14ac:dyDescent="0.2">
      <c r="A60" s="42" t="s">
        <v>2</v>
      </c>
      <c r="B60" s="41" t="s">
        <v>2127</v>
      </c>
      <c r="C60" s="41"/>
      <c r="D60" s="41"/>
      <c r="E60" s="41"/>
      <c r="F60" s="41"/>
      <c r="G60" s="41"/>
      <c r="H60" s="41"/>
      <c r="I60" s="40" t="s">
        <v>2154</v>
      </c>
      <c r="J60" s="28">
        <f>IF(ISNUMBER(SEARCH("x",I60)),0.5,0)</f>
        <v>0.5</v>
      </c>
      <c r="K60" s="19"/>
      <c r="M60" s="45"/>
      <c r="N60" s="45"/>
      <c r="O60" s="45"/>
      <c r="P60" s="45"/>
      <c r="Q60" s="45"/>
      <c r="R60" s="45"/>
      <c r="S60" s="45"/>
      <c r="T60" s="45"/>
      <c r="U60" s="45"/>
      <c r="V60" s="45"/>
      <c r="W60" s="45"/>
      <c r="X60" s="45"/>
      <c r="Y60" s="45"/>
      <c r="Z60" s="45"/>
    </row>
    <row r="61" spans="1:26" ht="16" x14ac:dyDescent="0.2">
      <c r="A61" s="34" t="s">
        <v>3</v>
      </c>
      <c r="B61" s="33" t="s">
        <v>487</v>
      </c>
      <c r="C61" s="33"/>
      <c r="D61" s="33"/>
      <c r="E61" s="33"/>
      <c r="F61" s="33"/>
      <c r="G61" s="33"/>
      <c r="H61" s="33"/>
      <c r="J61" s="28">
        <f>IF(ISNUMBER(SEARCH("x",I61)),-0.5,0)</f>
        <v>0</v>
      </c>
      <c r="K61" s="19"/>
      <c r="M61" s="45"/>
      <c r="N61" s="45"/>
      <c r="O61" s="45"/>
      <c r="P61" s="45"/>
      <c r="Q61" s="45"/>
      <c r="R61" s="45"/>
      <c r="S61" s="45"/>
      <c r="T61" s="45"/>
      <c r="U61" s="45"/>
      <c r="V61" s="45"/>
      <c r="W61" s="45"/>
      <c r="X61" s="45"/>
      <c r="Y61" s="45"/>
      <c r="Z61" s="45"/>
    </row>
    <row r="62" spans="1:26" ht="16" x14ac:dyDescent="0.2">
      <c r="A62" s="34" t="s">
        <v>6</v>
      </c>
      <c r="B62" s="33" t="s">
        <v>1196</v>
      </c>
      <c r="C62" s="33"/>
      <c r="D62" s="33"/>
      <c r="E62" s="33"/>
      <c r="F62" s="33"/>
      <c r="G62" s="33"/>
      <c r="H62" s="33"/>
      <c r="J62" s="28">
        <f>IF(ISNUMBER(SEARCH("x",I62)),-0.5,0)</f>
        <v>0</v>
      </c>
      <c r="K62" s="19"/>
      <c r="M62" s="45"/>
      <c r="N62" s="45"/>
      <c r="O62" s="45"/>
      <c r="P62" s="45"/>
      <c r="Q62" s="45"/>
      <c r="R62" s="45"/>
      <c r="S62" s="45"/>
      <c r="T62" s="45"/>
      <c r="U62" s="45"/>
      <c r="V62" s="45"/>
      <c r="W62" s="45"/>
      <c r="X62" s="45"/>
      <c r="Y62" s="45"/>
      <c r="Z62" s="45"/>
    </row>
    <row r="63" spans="1:26" s="27" customFormat="1" x14ac:dyDescent="0.2"/>
    <row r="64" spans="1:26" x14ac:dyDescent="0.2">
      <c r="A64" s="37" t="s">
        <v>2126</v>
      </c>
      <c r="B64" s="37"/>
      <c r="C64" s="37"/>
      <c r="D64" s="37"/>
      <c r="E64" s="37"/>
      <c r="F64" s="37"/>
      <c r="G64" s="37"/>
      <c r="H64" s="37"/>
      <c r="I64" s="36" t="s">
        <v>1858</v>
      </c>
      <c r="M64" s="45" t="s">
        <v>2213</v>
      </c>
      <c r="N64" s="44"/>
      <c r="O64" s="44"/>
      <c r="P64" s="44"/>
      <c r="Q64" s="44"/>
      <c r="R64" s="44"/>
      <c r="S64" s="44"/>
      <c r="T64" s="44"/>
      <c r="U64" s="44"/>
      <c r="V64" s="44"/>
      <c r="W64" s="44"/>
      <c r="X64" s="44"/>
      <c r="Y64" s="44"/>
      <c r="Z64" s="44"/>
    </row>
    <row r="65" spans="1:26" x14ac:dyDescent="0.2">
      <c r="A65" s="35" t="s">
        <v>2125</v>
      </c>
      <c r="B65" s="35"/>
      <c r="C65" s="35"/>
      <c r="D65" s="35"/>
      <c r="E65" s="35"/>
      <c r="F65" s="35"/>
      <c r="G65" s="35"/>
      <c r="H65" s="35"/>
      <c r="I65" s="35"/>
      <c r="M65" s="44"/>
      <c r="N65" s="44"/>
      <c r="O65" s="44"/>
      <c r="P65" s="44"/>
      <c r="Q65" s="44"/>
      <c r="R65" s="44"/>
      <c r="S65" s="44"/>
      <c r="T65" s="44"/>
      <c r="U65" s="44"/>
      <c r="V65" s="44"/>
      <c r="W65" s="44"/>
      <c r="X65" s="44"/>
      <c r="Y65" s="44"/>
      <c r="Z65" s="44"/>
    </row>
    <row r="66" spans="1:26" ht="63.5" customHeight="1" x14ac:dyDescent="0.2">
      <c r="A66" s="35"/>
      <c r="B66" s="35"/>
      <c r="C66" s="35"/>
      <c r="D66" s="35"/>
      <c r="E66" s="35"/>
      <c r="F66" s="35"/>
      <c r="G66" s="35"/>
      <c r="H66" s="35"/>
      <c r="I66" s="35"/>
      <c r="M66" s="44"/>
      <c r="N66" s="44"/>
      <c r="O66" s="44"/>
      <c r="P66" s="44"/>
      <c r="Q66" s="44"/>
      <c r="R66" s="44"/>
      <c r="S66" s="44"/>
      <c r="T66" s="44"/>
      <c r="U66" s="44"/>
      <c r="V66" s="44"/>
      <c r="W66" s="44"/>
      <c r="X66" s="44"/>
      <c r="Y66" s="44"/>
      <c r="Z66" s="44"/>
    </row>
    <row r="67" spans="1:26" x14ac:dyDescent="0.2">
      <c r="A67" s="35"/>
      <c r="B67" s="35"/>
      <c r="C67" s="35"/>
      <c r="D67" s="35"/>
      <c r="E67" s="35"/>
      <c r="F67" s="35"/>
      <c r="G67" s="35"/>
      <c r="H67" s="35"/>
      <c r="I67" s="35"/>
      <c r="M67" s="44"/>
      <c r="N67" s="44"/>
      <c r="O67" s="44"/>
      <c r="P67" s="44"/>
      <c r="Q67" s="44"/>
      <c r="R67" s="44"/>
      <c r="S67" s="44"/>
      <c r="T67" s="44"/>
      <c r="U67" s="44"/>
      <c r="V67" s="44"/>
      <c r="W67" s="44"/>
      <c r="X67" s="44"/>
      <c r="Y67" s="44"/>
      <c r="Z67" s="44"/>
    </row>
    <row r="68" spans="1:26" x14ac:dyDescent="0.2">
      <c r="A68" s="35"/>
      <c r="B68" s="35"/>
      <c r="C68" s="35"/>
      <c r="D68" s="35"/>
      <c r="E68" s="35"/>
      <c r="F68" s="35"/>
      <c r="G68" s="35"/>
      <c r="H68" s="35"/>
      <c r="I68" s="35"/>
      <c r="M68" s="44"/>
      <c r="N68" s="44"/>
      <c r="O68" s="44"/>
      <c r="P68" s="44"/>
      <c r="Q68" s="44"/>
      <c r="R68" s="44"/>
      <c r="S68" s="44"/>
      <c r="T68" s="44"/>
      <c r="U68" s="44"/>
      <c r="V68" s="44"/>
      <c r="W68" s="44"/>
      <c r="X68" s="44"/>
      <c r="Y68" s="44"/>
      <c r="Z68" s="44"/>
    </row>
    <row r="69" spans="1:26" ht="16" x14ac:dyDescent="0.2">
      <c r="A69" s="42" t="s">
        <v>0</v>
      </c>
      <c r="B69" s="41" t="s">
        <v>2124</v>
      </c>
      <c r="C69" s="41"/>
      <c r="D69" s="41"/>
      <c r="E69" s="41"/>
      <c r="F69" s="41"/>
      <c r="G69" s="41"/>
      <c r="H69" s="41"/>
      <c r="I69" s="40" t="s">
        <v>2154</v>
      </c>
      <c r="J69" s="28">
        <f>IF(ISNUMBER(SEARCH("x",I69)),1,0)</f>
        <v>1</v>
      </c>
      <c r="K69" s="19">
        <f>SUM(J69:J72)</f>
        <v>1</v>
      </c>
      <c r="M69" s="44"/>
      <c r="N69" s="44"/>
      <c r="O69" s="44"/>
      <c r="P69" s="44"/>
      <c r="Q69" s="44"/>
      <c r="R69" s="44"/>
      <c r="S69" s="44"/>
      <c r="T69" s="44"/>
      <c r="U69" s="44"/>
      <c r="V69" s="44"/>
      <c r="W69" s="44"/>
      <c r="X69" s="44"/>
      <c r="Y69" s="44"/>
      <c r="Z69" s="44"/>
    </row>
    <row r="70" spans="1:26" ht="28.25" customHeight="1" x14ac:dyDescent="0.2">
      <c r="A70" s="34" t="s">
        <v>1</v>
      </c>
      <c r="B70" s="33" t="s">
        <v>2123</v>
      </c>
      <c r="C70" s="33"/>
      <c r="D70" s="33"/>
      <c r="E70" s="33"/>
      <c r="F70" s="33"/>
      <c r="G70" s="33"/>
      <c r="H70" s="33"/>
      <c r="J70" s="28">
        <v>0</v>
      </c>
      <c r="K70" s="19"/>
      <c r="M70" s="44"/>
      <c r="N70" s="44"/>
      <c r="O70" s="44"/>
      <c r="P70" s="44"/>
      <c r="Q70" s="44"/>
      <c r="R70" s="44"/>
      <c r="S70" s="44"/>
      <c r="T70" s="44"/>
      <c r="U70" s="44"/>
      <c r="V70" s="44"/>
      <c r="W70" s="44"/>
      <c r="X70" s="44"/>
      <c r="Y70" s="44"/>
      <c r="Z70" s="44"/>
    </row>
    <row r="71" spans="1:26" ht="16" x14ac:dyDescent="0.2">
      <c r="A71" s="34" t="s">
        <v>2</v>
      </c>
      <c r="B71" s="33" t="s">
        <v>2122</v>
      </c>
      <c r="C71" s="33"/>
      <c r="D71" s="33"/>
      <c r="E71" s="33"/>
      <c r="F71" s="33"/>
      <c r="G71" s="33"/>
      <c r="H71" s="33"/>
      <c r="J71" s="38">
        <v>0</v>
      </c>
      <c r="K71" s="19"/>
      <c r="M71" s="44"/>
      <c r="N71" s="44"/>
      <c r="O71" s="44"/>
      <c r="P71" s="44"/>
      <c r="Q71" s="44"/>
      <c r="R71" s="44"/>
      <c r="S71" s="44"/>
      <c r="T71" s="44"/>
      <c r="U71" s="44"/>
      <c r="V71" s="44"/>
      <c r="W71" s="44"/>
      <c r="X71" s="44"/>
      <c r="Y71" s="44"/>
      <c r="Z71" s="44"/>
    </row>
    <row r="72" spans="1:26" ht="28.75" customHeight="1" x14ac:dyDescent="0.2">
      <c r="A72" s="34" t="s">
        <v>3</v>
      </c>
      <c r="B72" s="33" t="s">
        <v>2121</v>
      </c>
      <c r="C72" s="33"/>
      <c r="D72" s="33"/>
      <c r="E72" s="33"/>
      <c r="F72" s="33"/>
      <c r="G72" s="33"/>
      <c r="H72" s="33"/>
      <c r="J72" s="38">
        <v>0</v>
      </c>
      <c r="K72" s="19"/>
      <c r="M72" s="44"/>
      <c r="N72" s="44"/>
      <c r="O72" s="44"/>
      <c r="P72" s="44"/>
      <c r="Q72" s="44"/>
      <c r="R72" s="44"/>
      <c r="S72" s="44"/>
      <c r="T72" s="44"/>
      <c r="U72" s="44"/>
      <c r="V72" s="44"/>
      <c r="W72" s="44"/>
      <c r="X72" s="44"/>
      <c r="Y72" s="44"/>
      <c r="Z72" s="44"/>
    </row>
    <row r="73" spans="1:26" s="27" customFormat="1" x14ac:dyDescent="0.2"/>
    <row r="74" spans="1:26" x14ac:dyDescent="0.2">
      <c r="A74" s="37" t="s">
        <v>2120</v>
      </c>
      <c r="B74" s="37"/>
      <c r="C74" s="37"/>
      <c r="D74" s="37"/>
      <c r="E74" s="37"/>
      <c r="F74" s="37"/>
      <c r="G74" s="37"/>
      <c r="H74" s="37"/>
      <c r="I74" s="36" t="s">
        <v>1858</v>
      </c>
      <c r="M74" s="45" t="s">
        <v>2212</v>
      </c>
      <c r="N74" s="44"/>
      <c r="O74" s="44"/>
      <c r="P74" s="44"/>
      <c r="Q74" s="44"/>
      <c r="R74" s="44"/>
      <c r="S74" s="44"/>
      <c r="T74" s="44"/>
      <c r="U74" s="44"/>
      <c r="V74" s="44"/>
      <c r="W74" s="44"/>
      <c r="X74" s="44"/>
      <c r="Y74" s="44"/>
      <c r="Z74" s="44"/>
    </row>
    <row r="75" spans="1:26" x14ac:dyDescent="0.2">
      <c r="A75" s="35" t="s">
        <v>2119</v>
      </c>
      <c r="B75" s="35"/>
      <c r="C75" s="35"/>
      <c r="D75" s="35"/>
      <c r="E75" s="35"/>
      <c r="F75" s="35"/>
      <c r="G75" s="35"/>
      <c r="H75" s="35"/>
      <c r="I75" s="35"/>
      <c r="M75" s="44"/>
      <c r="N75" s="44"/>
      <c r="O75" s="44"/>
      <c r="P75" s="44"/>
      <c r="Q75" s="44"/>
      <c r="R75" s="44"/>
      <c r="S75" s="44"/>
      <c r="T75" s="44"/>
      <c r="U75" s="44"/>
      <c r="V75" s="44"/>
      <c r="W75" s="44"/>
      <c r="X75" s="44"/>
      <c r="Y75" s="44"/>
      <c r="Z75" s="44"/>
    </row>
    <row r="76" spans="1:26" x14ac:dyDescent="0.2">
      <c r="A76" s="35"/>
      <c r="B76" s="35"/>
      <c r="C76" s="35"/>
      <c r="D76" s="35"/>
      <c r="E76" s="35"/>
      <c r="F76" s="35"/>
      <c r="G76" s="35"/>
      <c r="H76" s="35"/>
      <c r="I76" s="35"/>
      <c r="M76" s="44"/>
      <c r="N76" s="44"/>
      <c r="O76" s="44"/>
      <c r="P76" s="44"/>
      <c r="Q76" s="44"/>
      <c r="R76" s="44"/>
      <c r="S76" s="44"/>
      <c r="T76" s="44"/>
      <c r="U76" s="44"/>
      <c r="V76" s="44"/>
      <c r="W76" s="44"/>
      <c r="X76" s="44"/>
      <c r="Y76" s="44"/>
      <c r="Z76" s="44"/>
    </row>
    <row r="77" spans="1:26" x14ac:dyDescent="0.2">
      <c r="A77" s="35"/>
      <c r="B77" s="35"/>
      <c r="C77" s="35"/>
      <c r="D77" s="35"/>
      <c r="E77" s="35"/>
      <c r="F77" s="35"/>
      <c r="G77" s="35"/>
      <c r="H77" s="35"/>
      <c r="I77" s="35"/>
      <c r="M77" s="44"/>
      <c r="N77" s="44"/>
      <c r="O77" s="44"/>
      <c r="P77" s="44"/>
      <c r="Q77" s="44"/>
      <c r="R77" s="44"/>
      <c r="S77" s="44"/>
      <c r="T77" s="44"/>
      <c r="U77" s="44"/>
      <c r="V77" s="44"/>
      <c r="W77" s="44"/>
      <c r="X77" s="44"/>
      <c r="Y77" s="44"/>
      <c r="Z77" s="44"/>
    </row>
    <row r="78" spans="1:26" ht="32.5" customHeight="1" x14ac:dyDescent="0.2">
      <c r="A78" s="35"/>
      <c r="B78" s="35"/>
      <c r="C78" s="35"/>
      <c r="D78" s="35"/>
      <c r="E78" s="35"/>
      <c r="F78" s="35"/>
      <c r="G78" s="35"/>
      <c r="H78" s="35"/>
      <c r="I78" s="35"/>
      <c r="M78" s="44"/>
      <c r="N78" s="44"/>
      <c r="O78" s="44"/>
      <c r="P78" s="44"/>
      <c r="Q78" s="44"/>
      <c r="R78" s="44"/>
      <c r="S78" s="44"/>
      <c r="T78" s="44"/>
      <c r="U78" s="44"/>
      <c r="V78" s="44"/>
      <c r="W78" s="44"/>
      <c r="X78" s="44"/>
      <c r="Y78" s="44"/>
      <c r="Z78" s="44"/>
    </row>
    <row r="79" spans="1:26" ht="16" x14ac:dyDescent="0.2">
      <c r="A79" s="42" t="s">
        <v>0</v>
      </c>
      <c r="B79" s="41" t="s">
        <v>2118</v>
      </c>
      <c r="C79" s="41"/>
      <c r="D79" s="41"/>
      <c r="E79" s="41"/>
      <c r="F79" s="41"/>
      <c r="G79" s="41"/>
      <c r="H79" s="41"/>
      <c r="I79" s="40" t="s">
        <v>2154</v>
      </c>
      <c r="J79" s="28">
        <f>IF(ISNUMBER(SEARCH("x",I79)),1,0)</f>
        <v>1</v>
      </c>
      <c r="K79" s="19">
        <f>SUM(J79:J82)</f>
        <v>1</v>
      </c>
      <c r="M79" s="44"/>
      <c r="N79" s="44"/>
      <c r="O79" s="44"/>
      <c r="P79" s="44"/>
      <c r="Q79" s="44"/>
      <c r="R79" s="44"/>
      <c r="S79" s="44"/>
      <c r="T79" s="44"/>
      <c r="U79" s="44"/>
      <c r="V79" s="44"/>
      <c r="W79" s="44"/>
      <c r="X79" s="44"/>
      <c r="Y79" s="44"/>
      <c r="Z79" s="44"/>
    </row>
    <row r="80" spans="1:26" ht="16" x14ac:dyDescent="0.2">
      <c r="A80" s="34" t="s">
        <v>1</v>
      </c>
      <c r="B80" s="33" t="s">
        <v>1365</v>
      </c>
      <c r="C80" s="33"/>
      <c r="D80" s="33"/>
      <c r="E80" s="33"/>
      <c r="F80" s="33"/>
      <c r="G80" s="33"/>
      <c r="H80" s="33"/>
      <c r="J80" s="28">
        <v>0</v>
      </c>
      <c r="K80" s="19"/>
      <c r="M80" s="44"/>
      <c r="N80" s="44"/>
      <c r="O80" s="44"/>
      <c r="P80" s="44"/>
      <c r="Q80" s="44"/>
      <c r="R80" s="44"/>
      <c r="S80" s="44"/>
      <c r="T80" s="44"/>
      <c r="U80" s="44"/>
      <c r="V80" s="44"/>
      <c r="W80" s="44"/>
      <c r="X80" s="44"/>
      <c r="Y80" s="44"/>
      <c r="Z80" s="44"/>
    </row>
    <row r="81" spans="1:26" ht="16" x14ac:dyDescent="0.2">
      <c r="A81" s="34" t="s">
        <v>2</v>
      </c>
      <c r="B81" s="33" t="s">
        <v>782</v>
      </c>
      <c r="C81" s="33"/>
      <c r="D81" s="33"/>
      <c r="E81" s="33"/>
      <c r="F81" s="33"/>
      <c r="G81" s="33"/>
      <c r="H81" s="33"/>
      <c r="J81" s="38">
        <v>0</v>
      </c>
      <c r="K81" s="19"/>
      <c r="M81" s="44"/>
      <c r="N81" s="44"/>
      <c r="O81" s="44"/>
      <c r="P81" s="44"/>
      <c r="Q81" s="44"/>
      <c r="R81" s="44"/>
      <c r="S81" s="44"/>
      <c r="T81" s="44"/>
      <c r="U81" s="44"/>
      <c r="V81" s="44"/>
      <c r="W81" s="44"/>
      <c r="X81" s="44"/>
      <c r="Y81" s="44"/>
      <c r="Z81" s="44"/>
    </row>
    <row r="82" spans="1:26" ht="16" x14ac:dyDescent="0.2">
      <c r="A82" s="34" t="s">
        <v>3</v>
      </c>
      <c r="B82" s="33" t="s">
        <v>1189</v>
      </c>
      <c r="C82" s="33"/>
      <c r="D82" s="33"/>
      <c r="E82" s="33"/>
      <c r="F82" s="33"/>
      <c r="G82" s="33"/>
      <c r="H82" s="33"/>
      <c r="J82" s="38">
        <v>0</v>
      </c>
      <c r="K82" s="19"/>
      <c r="M82" s="44"/>
      <c r="N82" s="44"/>
      <c r="O82" s="44"/>
      <c r="P82" s="44"/>
      <c r="Q82" s="44"/>
      <c r="R82" s="44"/>
      <c r="S82" s="44"/>
      <c r="T82" s="44"/>
      <c r="U82" s="44"/>
      <c r="V82" s="44"/>
      <c r="W82" s="44"/>
      <c r="X82" s="44"/>
      <c r="Y82" s="44"/>
      <c r="Z82" s="44"/>
    </row>
    <row r="83" spans="1:26" s="27" customFormat="1" x14ac:dyDescent="0.2"/>
    <row r="84" spans="1:26" x14ac:dyDescent="0.2">
      <c r="A84" s="37" t="s">
        <v>2117</v>
      </c>
      <c r="B84" s="37"/>
      <c r="C84" s="37"/>
      <c r="D84" s="37"/>
      <c r="E84" s="37"/>
      <c r="F84" s="37"/>
      <c r="G84" s="37"/>
      <c r="H84" s="37"/>
      <c r="I84" s="36" t="s">
        <v>1858</v>
      </c>
      <c r="M84" s="45" t="s">
        <v>2211</v>
      </c>
      <c r="N84" s="44"/>
      <c r="O84" s="44"/>
      <c r="P84" s="44"/>
      <c r="Q84" s="44"/>
      <c r="R84" s="44"/>
      <c r="S84" s="44"/>
      <c r="T84" s="44"/>
      <c r="U84" s="44"/>
      <c r="V84" s="44"/>
      <c r="W84" s="44"/>
      <c r="X84" s="44"/>
      <c r="Y84" s="44"/>
      <c r="Z84" s="44"/>
    </row>
    <row r="85" spans="1:26" x14ac:dyDescent="0.2">
      <c r="A85" s="35" t="s">
        <v>2116</v>
      </c>
      <c r="B85" s="35"/>
      <c r="C85" s="35"/>
      <c r="D85" s="35"/>
      <c r="E85" s="35"/>
      <c r="F85" s="35"/>
      <c r="G85" s="35"/>
      <c r="H85" s="35"/>
      <c r="I85" s="35"/>
      <c r="M85" s="44"/>
      <c r="N85" s="44"/>
      <c r="O85" s="44"/>
      <c r="P85" s="44"/>
      <c r="Q85" s="44"/>
      <c r="R85" s="44"/>
      <c r="S85" s="44"/>
      <c r="T85" s="44"/>
      <c r="U85" s="44"/>
      <c r="V85" s="44"/>
      <c r="W85" s="44"/>
      <c r="X85" s="44"/>
      <c r="Y85" s="44"/>
      <c r="Z85" s="44"/>
    </row>
    <row r="86" spans="1:26" x14ac:dyDescent="0.2">
      <c r="A86" s="35"/>
      <c r="B86" s="35"/>
      <c r="C86" s="35"/>
      <c r="D86" s="35"/>
      <c r="E86" s="35"/>
      <c r="F86" s="35"/>
      <c r="G86" s="35"/>
      <c r="H86" s="35"/>
      <c r="I86" s="35"/>
      <c r="M86" s="44"/>
      <c r="N86" s="44"/>
      <c r="O86" s="44"/>
      <c r="P86" s="44"/>
      <c r="Q86" s="44"/>
      <c r="R86" s="44"/>
      <c r="S86" s="44"/>
      <c r="T86" s="44"/>
      <c r="U86" s="44"/>
      <c r="V86" s="44"/>
      <c r="W86" s="44"/>
      <c r="X86" s="44"/>
      <c r="Y86" s="44"/>
      <c r="Z86" s="44"/>
    </row>
    <row r="87" spans="1:26" x14ac:dyDescent="0.2">
      <c r="A87" s="35"/>
      <c r="B87" s="35"/>
      <c r="C87" s="35"/>
      <c r="D87" s="35"/>
      <c r="E87" s="35"/>
      <c r="F87" s="35"/>
      <c r="G87" s="35"/>
      <c r="H87" s="35"/>
      <c r="I87" s="35"/>
      <c r="M87" s="44"/>
      <c r="N87" s="44"/>
      <c r="O87" s="44"/>
      <c r="P87" s="44"/>
      <c r="Q87" s="44"/>
      <c r="R87" s="44"/>
      <c r="S87" s="44"/>
      <c r="T87" s="44"/>
      <c r="U87" s="44"/>
      <c r="V87" s="44"/>
      <c r="W87" s="44"/>
      <c r="X87" s="44"/>
      <c r="Y87" s="44"/>
      <c r="Z87" s="44"/>
    </row>
    <row r="88" spans="1:26" ht="78" customHeight="1" x14ac:dyDescent="0.2">
      <c r="A88" s="35"/>
      <c r="B88" s="35"/>
      <c r="C88" s="35"/>
      <c r="D88" s="35"/>
      <c r="E88" s="35"/>
      <c r="F88" s="35"/>
      <c r="G88" s="35"/>
      <c r="H88" s="35"/>
      <c r="I88" s="35"/>
      <c r="M88" s="44"/>
      <c r="N88" s="44"/>
      <c r="O88" s="44"/>
      <c r="P88" s="44"/>
      <c r="Q88" s="44"/>
      <c r="R88" s="44"/>
      <c r="S88" s="44"/>
      <c r="T88" s="44"/>
      <c r="U88" s="44"/>
      <c r="V88" s="44"/>
      <c r="W88" s="44"/>
      <c r="X88" s="44"/>
      <c r="Y88" s="44"/>
      <c r="Z88" s="44"/>
    </row>
    <row r="89" spans="1:26" ht="16" x14ac:dyDescent="0.2">
      <c r="A89" s="34" t="s">
        <v>0</v>
      </c>
      <c r="B89" s="33" t="s">
        <v>2115</v>
      </c>
      <c r="C89" s="33"/>
      <c r="D89" s="33"/>
      <c r="E89" s="33"/>
      <c r="F89" s="33"/>
      <c r="G89" s="33"/>
      <c r="H89" s="33"/>
      <c r="J89" s="28">
        <v>0</v>
      </c>
      <c r="K89" s="19">
        <f>SUM(J89:J92)</f>
        <v>1</v>
      </c>
      <c r="M89" s="44"/>
      <c r="N89" s="44"/>
      <c r="O89" s="44"/>
      <c r="P89" s="44"/>
      <c r="Q89" s="44"/>
      <c r="R89" s="44"/>
      <c r="S89" s="44"/>
      <c r="T89" s="44"/>
      <c r="U89" s="44"/>
      <c r="V89" s="44"/>
      <c r="W89" s="44"/>
      <c r="X89" s="44"/>
      <c r="Y89" s="44"/>
      <c r="Z89" s="44"/>
    </row>
    <row r="90" spans="1:26" ht="16" x14ac:dyDescent="0.2">
      <c r="A90" s="34" t="s">
        <v>1</v>
      </c>
      <c r="B90" s="33" t="s">
        <v>2114</v>
      </c>
      <c r="C90" s="33"/>
      <c r="D90" s="33"/>
      <c r="E90" s="33"/>
      <c r="F90" s="33"/>
      <c r="G90" s="33"/>
      <c r="H90" s="33"/>
      <c r="J90" s="28">
        <v>0</v>
      </c>
      <c r="K90" s="19"/>
      <c r="M90" s="44"/>
      <c r="N90" s="44"/>
      <c r="O90" s="44"/>
      <c r="P90" s="44"/>
      <c r="Q90" s="44"/>
      <c r="R90" s="44"/>
      <c r="S90" s="44"/>
      <c r="T90" s="44"/>
      <c r="U90" s="44"/>
      <c r="V90" s="44"/>
      <c r="W90" s="44"/>
      <c r="X90" s="44"/>
      <c r="Y90" s="44"/>
      <c r="Z90" s="44"/>
    </row>
    <row r="91" spans="1:26" ht="28.75" customHeight="1" x14ac:dyDescent="0.2">
      <c r="A91" s="42" t="s">
        <v>2</v>
      </c>
      <c r="B91" s="41" t="s">
        <v>2113</v>
      </c>
      <c r="C91" s="41"/>
      <c r="D91" s="41"/>
      <c r="E91" s="41"/>
      <c r="F91" s="41"/>
      <c r="G91" s="41"/>
      <c r="H91" s="41"/>
      <c r="I91" s="40" t="s">
        <v>2154</v>
      </c>
      <c r="J91" s="28">
        <f>IF(ISNUMBER(SEARCH("x",I91)),1,0)</f>
        <v>1</v>
      </c>
      <c r="K91" s="19"/>
      <c r="M91" s="44"/>
      <c r="N91" s="44"/>
      <c r="O91" s="44"/>
      <c r="P91" s="44"/>
      <c r="Q91" s="44"/>
      <c r="R91" s="44"/>
      <c r="S91" s="44"/>
      <c r="T91" s="44"/>
      <c r="U91" s="44"/>
      <c r="V91" s="44"/>
      <c r="W91" s="44"/>
      <c r="X91" s="44"/>
      <c r="Y91" s="44"/>
      <c r="Z91" s="44"/>
    </row>
    <row r="92" spans="1:26" ht="16" x14ac:dyDescent="0.2">
      <c r="A92" s="34" t="s">
        <v>3</v>
      </c>
      <c r="B92" s="33" t="s">
        <v>2112</v>
      </c>
      <c r="C92" s="33"/>
      <c r="D92" s="33"/>
      <c r="E92" s="33"/>
      <c r="F92" s="33"/>
      <c r="G92" s="33"/>
      <c r="H92" s="33"/>
      <c r="J92" s="38">
        <v>0</v>
      </c>
      <c r="K92" s="19"/>
      <c r="M92" s="44"/>
      <c r="N92" s="44"/>
      <c r="O92" s="44"/>
      <c r="P92" s="44"/>
      <c r="Q92" s="44"/>
      <c r="R92" s="44"/>
      <c r="S92" s="44"/>
      <c r="T92" s="44"/>
      <c r="U92" s="44"/>
      <c r="V92" s="44"/>
      <c r="W92" s="44"/>
      <c r="X92" s="44"/>
      <c r="Y92" s="44"/>
      <c r="Z92" s="44"/>
    </row>
    <row r="93" spans="1:26" s="27" customFormat="1" x14ac:dyDescent="0.2"/>
    <row r="94" spans="1:26" x14ac:dyDescent="0.2">
      <c r="A94" s="37" t="s">
        <v>2111</v>
      </c>
      <c r="B94" s="37"/>
      <c r="C94" s="37"/>
      <c r="D94" s="37"/>
      <c r="E94" s="37"/>
      <c r="F94" s="37"/>
      <c r="G94" s="37"/>
      <c r="H94" s="37"/>
      <c r="I94" s="36" t="s">
        <v>1858</v>
      </c>
      <c r="M94" s="43" t="s">
        <v>2210</v>
      </c>
      <c r="N94" s="39"/>
      <c r="O94" s="39"/>
      <c r="P94" s="39"/>
      <c r="Q94" s="39"/>
      <c r="R94" s="39"/>
      <c r="S94" s="39"/>
      <c r="T94" s="39"/>
      <c r="U94" s="39"/>
      <c r="V94" s="39"/>
      <c r="W94" s="39"/>
      <c r="X94" s="39"/>
      <c r="Y94" s="39"/>
      <c r="Z94" s="39"/>
    </row>
    <row r="95" spans="1:26" x14ac:dyDescent="0.2">
      <c r="A95" s="35" t="s">
        <v>2110</v>
      </c>
      <c r="B95" s="35"/>
      <c r="C95" s="35"/>
      <c r="D95" s="35"/>
      <c r="E95" s="35"/>
      <c r="F95" s="35"/>
      <c r="G95" s="35"/>
      <c r="H95" s="35"/>
      <c r="I95" s="35"/>
      <c r="M95" s="39"/>
      <c r="N95" s="39"/>
      <c r="O95" s="39"/>
      <c r="P95" s="39"/>
      <c r="Q95" s="39"/>
      <c r="R95" s="39"/>
      <c r="S95" s="39"/>
      <c r="T95" s="39"/>
      <c r="U95" s="39"/>
      <c r="V95" s="39"/>
      <c r="W95" s="39"/>
      <c r="X95" s="39"/>
      <c r="Y95" s="39"/>
      <c r="Z95" s="39"/>
    </row>
    <row r="96" spans="1:26" x14ac:dyDescent="0.2">
      <c r="A96" s="35"/>
      <c r="B96" s="35"/>
      <c r="C96" s="35"/>
      <c r="D96" s="35"/>
      <c r="E96" s="35"/>
      <c r="F96" s="35"/>
      <c r="G96" s="35"/>
      <c r="H96" s="35"/>
      <c r="I96" s="35"/>
      <c r="M96" s="39"/>
      <c r="N96" s="39"/>
      <c r="O96" s="39"/>
      <c r="P96" s="39"/>
      <c r="Q96" s="39"/>
      <c r="R96" s="39"/>
      <c r="S96" s="39"/>
      <c r="T96" s="39"/>
      <c r="U96" s="39"/>
      <c r="V96" s="39"/>
      <c r="W96" s="39"/>
      <c r="X96" s="39"/>
      <c r="Y96" s="39"/>
      <c r="Z96" s="39"/>
    </row>
    <row r="97" spans="1:26" x14ac:dyDescent="0.2">
      <c r="A97" s="35"/>
      <c r="B97" s="35"/>
      <c r="C97" s="35"/>
      <c r="D97" s="35"/>
      <c r="E97" s="35"/>
      <c r="F97" s="35"/>
      <c r="G97" s="35"/>
      <c r="H97" s="35"/>
      <c r="I97" s="35"/>
      <c r="M97" s="39"/>
      <c r="N97" s="39"/>
      <c r="O97" s="39"/>
      <c r="P97" s="39"/>
      <c r="Q97" s="39"/>
      <c r="R97" s="39"/>
      <c r="S97" s="39"/>
      <c r="T97" s="39"/>
      <c r="U97" s="39"/>
      <c r="V97" s="39"/>
      <c r="W97" s="39"/>
      <c r="X97" s="39"/>
      <c r="Y97" s="39"/>
      <c r="Z97" s="39"/>
    </row>
    <row r="98" spans="1:26" x14ac:dyDescent="0.2">
      <c r="A98" s="35"/>
      <c r="B98" s="35"/>
      <c r="C98" s="35"/>
      <c r="D98" s="35"/>
      <c r="E98" s="35"/>
      <c r="F98" s="35"/>
      <c r="G98" s="35"/>
      <c r="H98" s="35"/>
      <c r="I98" s="35"/>
      <c r="M98" s="39"/>
      <c r="N98" s="39"/>
      <c r="O98" s="39"/>
      <c r="P98" s="39"/>
      <c r="Q98" s="39"/>
      <c r="R98" s="39"/>
      <c r="S98" s="39"/>
      <c r="T98" s="39"/>
      <c r="U98" s="39"/>
      <c r="V98" s="39"/>
      <c r="W98" s="39"/>
      <c r="X98" s="39"/>
      <c r="Y98" s="39"/>
      <c r="Z98" s="39"/>
    </row>
    <row r="99" spans="1:26" ht="16" x14ac:dyDescent="0.2">
      <c r="A99" s="34" t="s">
        <v>0</v>
      </c>
      <c r="B99" s="33" t="s">
        <v>2109</v>
      </c>
      <c r="C99" s="33"/>
      <c r="D99" s="33"/>
      <c r="E99" s="33"/>
      <c r="F99" s="33"/>
      <c r="G99" s="33"/>
      <c r="H99" s="33"/>
      <c r="J99" s="28">
        <v>0</v>
      </c>
      <c r="K99" s="19">
        <f>SUM(J99:J102)</f>
        <v>1</v>
      </c>
      <c r="M99" s="39"/>
      <c r="N99" s="39"/>
      <c r="O99" s="39"/>
      <c r="P99" s="39"/>
      <c r="Q99" s="39"/>
      <c r="R99" s="39"/>
      <c r="S99" s="39"/>
      <c r="T99" s="39"/>
      <c r="U99" s="39"/>
      <c r="V99" s="39"/>
      <c r="W99" s="39"/>
      <c r="X99" s="39"/>
      <c r="Y99" s="39"/>
      <c r="Z99" s="39"/>
    </row>
    <row r="100" spans="1:26" ht="16" x14ac:dyDescent="0.2">
      <c r="A100" s="34" t="s">
        <v>1</v>
      </c>
      <c r="B100" s="33" t="s">
        <v>2108</v>
      </c>
      <c r="C100" s="33"/>
      <c r="D100" s="33"/>
      <c r="E100" s="33"/>
      <c r="F100" s="33"/>
      <c r="G100" s="33"/>
      <c r="H100" s="33"/>
      <c r="J100" s="28">
        <v>0</v>
      </c>
      <c r="K100" s="19"/>
      <c r="M100" s="39"/>
      <c r="N100" s="39"/>
      <c r="O100" s="39"/>
      <c r="P100" s="39"/>
      <c r="Q100" s="39"/>
      <c r="R100" s="39"/>
      <c r="S100" s="39"/>
      <c r="T100" s="39"/>
      <c r="U100" s="39"/>
      <c r="V100" s="39"/>
      <c r="W100" s="39"/>
      <c r="X100" s="39"/>
      <c r="Y100" s="39"/>
      <c r="Z100" s="39"/>
    </row>
    <row r="101" spans="1:26" ht="16" x14ac:dyDescent="0.2">
      <c r="A101" s="34" t="s">
        <v>2</v>
      </c>
      <c r="B101" s="33" t="s">
        <v>2107</v>
      </c>
      <c r="C101" s="33"/>
      <c r="D101" s="33"/>
      <c r="E101" s="33"/>
      <c r="F101" s="33"/>
      <c r="G101" s="33"/>
      <c r="H101" s="33"/>
      <c r="J101" s="38">
        <v>0</v>
      </c>
      <c r="K101" s="19"/>
      <c r="M101" s="39"/>
      <c r="N101" s="39"/>
      <c r="O101" s="39"/>
      <c r="P101" s="39"/>
      <c r="Q101" s="39"/>
      <c r="R101" s="39"/>
      <c r="S101" s="39"/>
      <c r="T101" s="39"/>
      <c r="U101" s="39"/>
      <c r="V101" s="39"/>
      <c r="W101" s="39"/>
      <c r="X101" s="39"/>
      <c r="Y101" s="39"/>
      <c r="Z101" s="39"/>
    </row>
    <row r="102" spans="1:26" ht="16" x14ac:dyDescent="0.2">
      <c r="A102" s="42" t="s">
        <v>3</v>
      </c>
      <c r="B102" s="41" t="s">
        <v>2106</v>
      </c>
      <c r="C102" s="41"/>
      <c r="D102" s="41"/>
      <c r="E102" s="41"/>
      <c r="F102" s="41"/>
      <c r="G102" s="41"/>
      <c r="H102" s="41"/>
      <c r="I102" s="40" t="s">
        <v>2154</v>
      </c>
      <c r="J102" s="28">
        <f>IF(ISNUMBER(SEARCH("x",I102)),1,0)</f>
        <v>1</v>
      </c>
      <c r="K102" s="19"/>
      <c r="M102" s="39"/>
      <c r="N102" s="39"/>
      <c r="O102" s="39"/>
      <c r="P102" s="39"/>
      <c r="Q102" s="39"/>
      <c r="R102" s="39"/>
      <c r="S102" s="39"/>
      <c r="T102" s="39"/>
      <c r="U102" s="39"/>
      <c r="V102" s="39"/>
      <c r="W102" s="39"/>
      <c r="X102" s="39"/>
      <c r="Y102" s="39"/>
      <c r="Z102" s="39"/>
    </row>
    <row r="103" spans="1:26" s="27" customFormat="1" x14ac:dyDescent="0.2"/>
    <row r="104" spans="1:26" x14ac:dyDescent="0.2">
      <c r="A104" s="37" t="s">
        <v>2105</v>
      </c>
      <c r="B104" s="37"/>
      <c r="C104" s="37"/>
      <c r="D104" s="37"/>
      <c r="E104" s="37"/>
      <c r="F104" s="37"/>
      <c r="G104" s="37"/>
      <c r="H104" s="37"/>
      <c r="I104" s="36" t="s">
        <v>1858</v>
      </c>
      <c r="M104" s="43" t="s">
        <v>2209</v>
      </c>
      <c r="N104" s="39"/>
      <c r="O104" s="39"/>
      <c r="P104" s="39"/>
      <c r="Q104" s="39"/>
      <c r="R104" s="39"/>
      <c r="S104" s="39"/>
      <c r="T104" s="39"/>
      <c r="U104" s="39"/>
      <c r="V104" s="39"/>
      <c r="W104" s="39"/>
      <c r="X104" s="39"/>
      <c r="Y104" s="39"/>
      <c r="Z104" s="39"/>
    </row>
    <row r="105" spans="1:26" x14ac:dyDescent="0.2">
      <c r="A105" s="35" t="s">
        <v>2104</v>
      </c>
      <c r="B105" s="35"/>
      <c r="C105" s="35"/>
      <c r="D105" s="35"/>
      <c r="E105" s="35"/>
      <c r="F105" s="35"/>
      <c r="G105" s="35"/>
      <c r="H105" s="35"/>
      <c r="I105" s="35"/>
      <c r="M105" s="39"/>
      <c r="N105" s="39"/>
      <c r="O105" s="39"/>
      <c r="P105" s="39"/>
      <c r="Q105" s="39"/>
      <c r="R105" s="39"/>
      <c r="S105" s="39"/>
      <c r="T105" s="39"/>
      <c r="U105" s="39"/>
      <c r="V105" s="39"/>
      <c r="W105" s="39"/>
      <c r="X105" s="39"/>
      <c r="Y105" s="39"/>
      <c r="Z105" s="39"/>
    </row>
    <row r="106" spans="1:26" x14ac:dyDescent="0.2">
      <c r="A106" s="35"/>
      <c r="B106" s="35"/>
      <c r="C106" s="35"/>
      <c r="D106" s="35"/>
      <c r="E106" s="35"/>
      <c r="F106" s="35"/>
      <c r="G106" s="35"/>
      <c r="H106" s="35"/>
      <c r="I106" s="35"/>
      <c r="M106" s="39"/>
      <c r="N106" s="39"/>
      <c r="O106" s="39"/>
      <c r="P106" s="39"/>
      <c r="Q106" s="39"/>
      <c r="R106" s="39"/>
      <c r="S106" s="39"/>
      <c r="T106" s="39"/>
      <c r="U106" s="39"/>
      <c r="V106" s="39"/>
      <c r="W106" s="39"/>
      <c r="X106" s="39"/>
      <c r="Y106" s="39"/>
      <c r="Z106" s="39"/>
    </row>
    <row r="107" spans="1:26" x14ac:dyDescent="0.2">
      <c r="A107" s="35"/>
      <c r="B107" s="35"/>
      <c r="C107" s="35"/>
      <c r="D107" s="35"/>
      <c r="E107" s="35"/>
      <c r="F107" s="35"/>
      <c r="G107" s="35"/>
      <c r="H107" s="35"/>
      <c r="I107" s="35"/>
      <c r="M107" s="39"/>
      <c r="N107" s="39"/>
      <c r="O107" s="39"/>
      <c r="P107" s="39"/>
      <c r="Q107" s="39"/>
      <c r="R107" s="39"/>
      <c r="S107" s="39"/>
      <c r="T107" s="39"/>
      <c r="U107" s="39"/>
      <c r="V107" s="39"/>
      <c r="W107" s="39"/>
      <c r="X107" s="39"/>
      <c r="Y107" s="39"/>
      <c r="Z107" s="39"/>
    </row>
    <row r="108" spans="1:26" ht="37.25" customHeight="1" x14ac:dyDescent="0.2">
      <c r="A108" s="35"/>
      <c r="B108" s="35"/>
      <c r="C108" s="35"/>
      <c r="D108" s="35"/>
      <c r="E108" s="35"/>
      <c r="F108" s="35"/>
      <c r="G108" s="35"/>
      <c r="H108" s="35"/>
      <c r="I108" s="35"/>
      <c r="M108" s="39"/>
      <c r="N108" s="39"/>
      <c r="O108" s="39"/>
      <c r="P108" s="39"/>
      <c r="Q108" s="39"/>
      <c r="R108" s="39"/>
      <c r="S108" s="39"/>
      <c r="T108" s="39"/>
      <c r="U108" s="39"/>
      <c r="V108" s="39"/>
      <c r="W108" s="39"/>
      <c r="X108" s="39"/>
      <c r="Y108" s="39"/>
      <c r="Z108" s="39"/>
    </row>
    <row r="109" spans="1:26" ht="16" x14ac:dyDescent="0.2">
      <c r="A109" s="34" t="s">
        <v>0</v>
      </c>
      <c r="B109" s="33" t="s">
        <v>1683</v>
      </c>
      <c r="C109" s="33"/>
      <c r="D109" s="33"/>
      <c r="E109" s="33"/>
      <c r="F109" s="33"/>
      <c r="G109" s="33"/>
      <c r="H109" s="33"/>
      <c r="J109" s="28">
        <v>0</v>
      </c>
      <c r="K109" s="19">
        <f>SUM(J109:J112)</f>
        <v>1</v>
      </c>
      <c r="M109" s="39"/>
      <c r="N109" s="39"/>
      <c r="O109" s="39"/>
      <c r="P109" s="39"/>
      <c r="Q109" s="39"/>
      <c r="R109" s="39"/>
      <c r="S109" s="39"/>
      <c r="T109" s="39"/>
      <c r="U109" s="39"/>
      <c r="V109" s="39"/>
      <c r="W109" s="39"/>
      <c r="X109" s="39"/>
      <c r="Y109" s="39"/>
      <c r="Z109" s="39"/>
    </row>
    <row r="110" spans="1:26" ht="16" x14ac:dyDescent="0.2">
      <c r="A110" s="42" t="s">
        <v>1</v>
      </c>
      <c r="B110" s="41" t="s">
        <v>2103</v>
      </c>
      <c r="C110" s="41"/>
      <c r="D110" s="41"/>
      <c r="E110" s="41"/>
      <c r="F110" s="41"/>
      <c r="G110" s="41"/>
      <c r="H110" s="41"/>
      <c r="I110" s="40" t="s">
        <v>2154</v>
      </c>
      <c r="J110" s="28">
        <f>IF(ISNUMBER(SEARCH("x",I110)),1,0)</f>
        <v>1</v>
      </c>
      <c r="K110" s="19"/>
      <c r="M110" s="39"/>
      <c r="N110" s="39"/>
      <c r="O110" s="39"/>
      <c r="P110" s="39"/>
      <c r="Q110" s="39"/>
      <c r="R110" s="39"/>
      <c r="S110" s="39"/>
      <c r="T110" s="39"/>
      <c r="U110" s="39"/>
      <c r="V110" s="39"/>
      <c r="W110" s="39"/>
      <c r="X110" s="39"/>
      <c r="Y110" s="39"/>
      <c r="Z110" s="39"/>
    </row>
    <row r="111" spans="1:26" ht="16" x14ac:dyDescent="0.2">
      <c r="A111" s="34" t="s">
        <v>2</v>
      </c>
      <c r="B111" s="33" t="s">
        <v>1222</v>
      </c>
      <c r="C111" s="33"/>
      <c r="D111" s="33"/>
      <c r="E111" s="33"/>
      <c r="F111" s="33"/>
      <c r="G111" s="33"/>
      <c r="H111" s="33"/>
      <c r="J111" s="38">
        <v>0</v>
      </c>
      <c r="K111" s="19"/>
      <c r="M111" s="39"/>
      <c r="N111" s="39"/>
      <c r="O111" s="39"/>
      <c r="P111" s="39"/>
      <c r="Q111" s="39"/>
      <c r="R111" s="39"/>
      <c r="S111" s="39"/>
      <c r="T111" s="39"/>
      <c r="U111" s="39"/>
      <c r="V111" s="39"/>
      <c r="W111" s="39"/>
      <c r="X111" s="39"/>
      <c r="Y111" s="39"/>
      <c r="Z111" s="39"/>
    </row>
    <row r="112" spans="1:26" ht="16" x14ac:dyDescent="0.2">
      <c r="A112" s="34" t="s">
        <v>3</v>
      </c>
      <c r="B112" s="33" t="s">
        <v>1220</v>
      </c>
      <c r="C112" s="33"/>
      <c r="D112" s="33"/>
      <c r="E112" s="33"/>
      <c r="F112" s="33"/>
      <c r="G112" s="33"/>
      <c r="H112" s="33"/>
      <c r="J112" s="28">
        <v>0</v>
      </c>
      <c r="K112" s="19"/>
      <c r="M112" s="39"/>
      <c r="N112" s="39"/>
      <c r="O112" s="39"/>
      <c r="P112" s="39"/>
      <c r="Q112" s="39"/>
      <c r="R112" s="39"/>
      <c r="S112" s="39"/>
      <c r="T112" s="39"/>
      <c r="U112" s="39"/>
      <c r="V112" s="39"/>
      <c r="W112" s="39"/>
      <c r="X112" s="39"/>
      <c r="Y112" s="39"/>
      <c r="Z112" s="39"/>
    </row>
    <row r="113" spans="1:26" s="27" customFormat="1" x14ac:dyDescent="0.2"/>
    <row r="114" spans="1:26" x14ac:dyDescent="0.2">
      <c r="A114" s="37" t="s">
        <v>2102</v>
      </c>
      <c r="B114" s="37"/>
      <c r="C114" s="37"/>
      <c r="D114" s="37"/>
      <c r="E114" s="37"/>
      <c r="F114" s="37"/>
      <c r="G114" s="37"/>
      <c r="H114" s="37"/>
      <c r="I114" s="36" t="s">
        <v>1858</v>
      </c>
      <c r="M114" s="43" t="s">
        <v>2208</v>
      </c>
      <c r="N114" s="39"/>
      <c r="O114" s="39"/>
      <c r="P114" s="39"/>
      <c r="Q114" s="39"/>
      <c r="R114" s="39"/>
      <c r="S114" s="39"/>
      <c r="T114" s="39"/>
      <c r="U114" s="39"/>
      <c r="V114" s="39"/>
      <c r="W114" s="39"/>
      <c r="X114" s="39"/>
      <c r="Y114" s="39"/>
      <c r="Z114" s="39"/>
    </row>
    <row r="115" spans="1:26" x14ac:dyDescent="0.2">
      <c r="A115" s="35" t="s">
        <v>2101</v>
      </c>
      <c r="B115" s="35"/>
      <c r="C115" s="35"/>
      <c r="D115" s="35"/>
      <c r="E115" s="35"/>
      <c r="F115" s="35"/>
      <c r="G115" s="35"/>
      <c r="H115" s="35"/>
      <c r="I115" s="35"/>
      <c r="M115" s="39"/>
      <c r="N115" s="39"/>
      <c r="O115" s="39"/>
      <c r="P115" s="39"/>
      <c r="Q115" s="39"/>
      <c r="R115" s="39"/>
      <c r="S115" s="39"/>
      <c r="T115" s="39"/>
      <c r="U115" s="39"/>
      <c r="V115" s="39"/>
      <c r="W115" s="39"/>
      <c r="X115" s="39"/>
      <c r="Y115" s="39"/>
      <c r="Z115" s="39"/>
    </row>
    <row r="116" spans="1:26" x14ac:dyDescent="0.2">
      <c r="A116" s="35"/>
      <c r="B116" s="35"/>
      <c r="C116" s="35"/>
      <c r="D116" s="35"/>
      <c r="E116" s="35"/>
      <c r="F116" s="35"/>
      <c r="G116" s="35"/>
      <c r="H116" s="35"/>
      <c r="I116" s="35"/>
      <c r="M116" s="39"/>
      <c r="N116" s="39"/>
      <c r="O116" s="39"/>
      <c r="P116" s="39"/>
      <c r="Q116" s="39"/>
      <c r="R116" s="39"/>
      <c r="S116" s="39"/>
      <c r="T116" s="39"/>
      <c r="U116" s="39"/>
      <c r="V116" s="39"/>
      <c r="W116" s="39"/>
      <c r="X116" s="39"/>
      <c r="Y116" s="39"/>
      <c r="Z116" s="39"/>
    </row>
    <row r="117" spans="1:26" x14ac:dyDescent="0.2">
      <c r="A117" s="35"/>
      <c r="B117" s="35"/>
      <c r="C117" s="35"/>
      <c r="D117" s="35"/>
      <c r="E117" s="35"/>
      <c r="F117" s="35"/>
      <c r="G117" s="35"/>
      <c r="H117" s="35"/>
      <c r="I117" s="35"/>
      <c r="M117" s="39"/>
      <c r="N117" s="39"/>
      <c r="O117" s="39"/>
      <c r="P117" s="39"/>
      <c r="Q117" s="39"/>
      <c r="R117" s="39"/>
      <c r="S117" s="39"/>
      <c r="T117" s="39"/>
      <c r="U117" s="39"/>
      <c r="V117" s="39"/>
      <c r="W117" s="39"/>
      <c r="X117" s="39"/>
      <c r="Y117" s="39"/>
      <c r="Z117" s="39"/>
    </row>
    <row r="118" spans="1:26" ht="44.5" customHeight="1" x14ac:dyDescent="0.2">
      <c r="A118" s="35"/>
      <c r="B118" s="35"/>
      <c r="C118" s="35"/>
      <c r="D118" s="35"/>
      <c r="E118" s="35"/>
      <c r="F118" s="35"/>
      <c r="G118" s="35"/>
      <c r="H118" s="35"/>
      <c r="I118" s="35"/>
      <c r="M118" s="39"/>
      <c r="N118" s="39"/>
      <c r="O118" s="39"/>
      <c r="P118" s="39"/>
      <c r="Q118" s="39"/>
      <c r="R118" s="39"/>
      <c r="S118" s="39"/>
      <c r="T118" s="39"/>
      <c r="U118" s="39"/>
      <c r="V118" s="39"/>
      <c r="W118" s="39"/>
      <c r="X118" s="39"/>
      <c r="Y118" s="39"/>
      <c r="Z118" s="39"/>
    </row>
    <row r="119" spans="1:26" ht="16" x14ac:dyDescent="0.2">
      <c r="A119" s="34" t="s">
        <v>0</v>
      </c>
      <c r="B119" s="33" t="s">
        <v>2100</v>
      </c>
      <c r="C119" s="33"/>
      <c r="D119" s="33"/>
      <c r="E119" s="33"/>
      <c r="F119" s="33"/>
      <c r="G119" s="33"/>
      <c r="H119" s="33"/>
      <c r="J119" s="28">
        <v>0</v>
      </c>
      <c r="K119" s="19">
        <f>SUM(J119:J122)</f>
        <v>1</v>
      </c>
      <c r="M119" s="39"/>
      <c r="N119" s="39"/>
      <c r="O119" s="39"/>
      <c r="P119" s="39"/>
      <c r="Q119" s="39"/>
      <c r="R119" s="39"/>
      <c r="S119" s="39"/>
      <c r="T119" s="39"/>
      <c r="U119" s="39"/>
      <c r="V119" s="39"/>
      <c r="W119" s="39"/>
      <c r="X119" s="39"/>
      <c r="Y119" s="39"/>
      <c r="Z119" s="39"/>
    </row>
    <row r="120" spans="1:26" ht="16" x14ac:dyDescent="0.2">
      <c r="A120" s="42" t="s">
        <v>1</v>
      </c>
      <c r="B120" s="41" t="s">
        <v>2099</v>
      </c>
      <c r="C120" s="41"/>
      <c r="D120" s="41"/>
      <c r="E120" s="41"/>
      <c r="F120" s="41"/>
      <c r="G120" s="41"/>
      <c r="H120" s="41"/>
      <c r="I120" s="40" t="s">
        <v>2154</v>
      </c>
      <c r="J120" s="28">
        <f>IF(ISNUMBER(SEARCH("x",I120)),1,0)</f>
        <v>1</v>
      </c>
      <c r="K120" s="19"/>
      <c r="M120" s="39"/>
      <c r="N120" s="39"/>
      <c r="O120" s="39"/>
      <c r="P120" s="39"/>
      <c r="Q120" s="39"/>
      <c r="R120" s="39"/>
      <c r="S120" s="39"/>
      <c r="T120" s="39"/>
      <c r="U120" s="39"/>
      <c r="V120" s="39"/>
      <c r="W120" s="39"/>
      <c r="X120" s="39"/>
      <c r="Y120" s="39"/>
      <c r="Z120" s="39"/>
    </row>
    <row r="121" spans="1:26" ht="16" x14ac:dyDescent="0.2">
      <c r="A121" s="34" t="s">
        <v>2</v>
      </c>
      <c r="B121" s="33" t="s">
        <v>2098</v>
      </c>
      <c r="C121" s="33"/>
      <c r="D121" s="33"/>
      <c r="E121" s="33"/>
      <c r="F121" s="33"/>
      <c r="G121" s="33"/>
      <c r="H121" s="33"/>
      <c r="J121" s="38">
        <v>0</v>
      </c>
      <c r="K121" s="19"/>
      <c r="M121" s="39"/>
      <c r="N121" s="39"/>
      <c r="O121" s="39"/>
      <c r="P121" s="39"/>
      <c r="Q121" s="39"/>
      <c r="R121" s="39"/>
      <c r="S121" s="39"/>
      <c r="T121" s="39"/>
      <c r="U121" s="39"/>
      <c r="V121" s="39"/>
      <c r="W121" s="39"/>
      <c r="X121" s="39"/>
      <c r="Y121" s="39"/>
      <c r="Z121" s="39"/>
    </row>
    <row r="122" spans="1:26" ht="16" x14ac:dyDescent="0.2">
      <c r="A122" s="34" t="s">
        <v>3</v>
      </c>
      <c r="B122" s="33" t="s">
        <v>2097</v>
      </c>
      <c r="C122" s="33"/>
      <c r="D122" s="33"/>
      <c r="E122" s="33"/>
      <c r="F122" s="33"/>
      <c r="G122" s="33"/>
      <c r="H122" s="33"/>
      <c r="J122" s="28">
        <v>0</v>
      </c>
      <c r="K122" s="19"/>
      <c r="M122" s="39"/>
      <c r="N122" s="39"/>
      <c r="O122" s="39"/>
      <c r="P122" s="39"/>
      <c r="Q122" s="39"/>
      <c r="R122" s="39"/>
      <c r="S122" s="39"/>
      <c r="T122" s="39"/>
      <c r="U122" s="39"/>
      <c r="V122" s="39"/>
      <c r="W122" s="39"/>
      <c r="X122" s="39"/>
      <c r="Y122" s="39"/>
      <c r="Z122" s="39"/>
    </row>
    <row r="123" spans="1:26" s="27" customFormat="1" x14ac:dyDescent="0.2"/>
    <row r="124" spans="1:26" x14ac:dyDescent="0.2">
      <c r="A124" s="37" t="s">
        <v>2096</v>
      </c>
      <c r="B124" s="37"/>
      <c r="C124" s="37"/>
      <c r="D124" s="37"/>
      <c r="E124" s="37"/>
      <c r="F124" s="37"/>
      <c r="G124" s="37"/>
      <c r="H124" s="37"/>
      <c r="I124" s="36" t="s">
        <v>1858</v>
      </c>
      <c r="M124" s="43" t="s">
        <v>2207</v>
      </c>
      <c r="N124" s="39"/>
      <c r="O124" s="39"/>
      <c r="P124" s="39"/>
      <c r="Q124" s="39"/>
      <c r="R124" s="39"/>
      <c r="S124" s="39"/>
      <c r="T124" s="39"/>
      <c r="U124" s="39"/>
      <c r="V124" s="39"/>
      <c r="W124" s="39"/>
      <c r="X124" s="39"/>
      <c r="Y124" s="39"/>
      <c r="Z124" s="39"/>
    </row>
    <row r="125" spans="1:26" ht="63.5" customHeight="1" x14ac:dyDescent="0.2">
      <c r="A125" s="35" t="s">
        <v>2095</v>
      </c>
      <c r="B125" s="35"/>
      <c r="C125" s="35"/>
      <c r="D125" s="35"/>
      <c r="E125" s="35"/>
      <c r="F125" s="35"/>
      <c r="G125" s="35"/>
      <c r="H125" s="35"/>
      <c r="I125" s="35"/>
      <c r="M125" s="39"/>
      <c r="N125" s="39"/>
      <c r="O125" s="39"/>
      <c r="P125" s="39"/>
      <c r="Q125" s="39"/>
      <c r="R125" s="39"/>
      <c r="S125" s="39"/>
      <c r="T125" s="39"/>
      <c r="U125" s="39"/>
      <c r="V125" s="39"/>
      <c r="W125" s="39"/>
      <c r="X125" s="39"/>
      <c r="Y125" s="39"/>
      <c r="Z125" s="39"/>
    </row>
    <row r="126" spans="1:26" x14ac:dyDescent="0.2">
      <c r="A126" s="35"/>
      <c r="B126" s="35"/>
      <c r="C126" s="35"/>
      <c r="D126" s="35"/>
      <c r="E126" s="35"/>
      <c r="F126" s="35"/>
      <c r="G126" s="35"/>
      <c r="H126" s="35"/>
      <c r="I126" s="35"/>
      <c r="M126" s="39"/>
      <c r="N126" s="39"/>
      <c r="O126" s="39"/>
      <c r="P126" s="39"/>
      <c r="Q126" s="39"/>
      <c r="R126" s="39"/>
      <c r="S126" s="39"/>
      <c r="T126" s="39"/>
      <c r="U126" s="39"/>
      <c r="V126" s="39"/>
      <c r="W126" s="39"/>
      <c r="X126" s="39"/>
      <c r="Y126" s="39"/>
      <c r="Z126" s="39"/>
    </row>
    <row r="127" spans="1:26" x14ac:dyDescent="0.2">
      <c r="A127" s="35"/>
      <c r="B127" s="35"/>
      <c r="C127" s="35"/>
      <c r="D127" s="35"/>
      <c r="E127" s="35"/>
      <c r="F127" s="35"/>
      <c r="G127" s="35"/>
      <c r="H127" s="35"/>
      <c r="I127" s="35"/>
      <c r="M127" s="39"/>
      <c r="N127" s="39"/>
      <c r="O127" s="39"/>
      <c r="P127" s="39"/>
      <c r="Q127" s="39"/>
      <c r="R127" s="39"/>
      <c r="S127" s="39"/>
      <c r="T127" s="39"/>
      <c r="U127" s="39"/>
      <c r="V127" s="39"/>
      <c r="W127" s="39"/>
      <c r="X127" s="39"/>
      <c r="Y127" s="39"/>
      <c r="Z127" s="39"/>
    </row>
    <row r="128" spans="1:26" x14ac:dyDescent="0.2">
      <c r="A128" s="35"/>
      <c r="B128" s="35"/>
      <c r="C128" s="35"/>
      <c r="D128" s="35"/>
      <c r="E128" s="35"/>
      <c r="F128" s="35"/>
      <c r="G128" s="35"/>
      <c r="H128" s="35"/>
      <c r="I128" s="35"/>
      <c r="M128" s="39"/>
      <c r="N128" s="39"/>
      <c r="O128" s="39"/>
      <c r="P128" s="39"/>
      <c r="Q128" s="39"/>
      <c r="R128" s="39"/>
      <c r="S128" s="39"/>
      <c r="T128" s="39"/>
      <c r="U128" s="39"/>
      <c r="V128" s="39"/>
      <c r="W128" s="39"/>
      <c r="X128" s="39"/>
      <c r="Y128" s="39"/>
      <c r="Z128" s="39"/>
    </row>
    <row r="129" spans="1:26" ht="16" x14ac:dyDescent="0.2">
      <c r="A129" s="34" t="s">
        <v>0</v>
      </c>
      <c r="B129" s="33" t="s">
        <v>2094</v>
      </c>
      <c r="C129" s="33"/>
      <c r="D129" s="33"/>
      <c r="E129" s="33"/>
      <c r="F129" s="33"/>
      <c r="G129" s="33"/>
      <c r="H129" s="33"/>
      <c r="J129" s="28">
        <v>0</v>
      </c>
      <c r="K129" s="19">
        <f>SUM(J129:J132)</f>
        <v>1</v>
      </c>
      <c r="M129" s="39"/>
      <c r="N129" s="39"/>
      <c r="O129" s="39"/>
      <c r="P129" s="39"/>
      <c r="Q129" s="39"/>
      <c r="R129" s="39"/>
      <c r="S129" s="39"/>
      <c r="T129" s="39"/>
      <c r="U129" s="39"/>
      <c r="V129" s="39"/>
      <c r="W129" s="39"/>
      <c r="X129" s="39"/>
      <c r="Y129" s="39"/>
      <c r="Z129" s="39"/>
    </row>
    <row r="130" spans="1:26" ht="16" x14ac:dyDescent="0.2">
      <c r="A130" s="34" t="s">
        <v>1</v>
      </c>
      <c r="B130" s="33" t="s">
        <v>20</v>
      </c>
      <c r="C130" s="33"/>
      <c r="D130" s="33"/>
      <c r="E130" s="33"/>
      <c r="F130" s="33"/>
      <c r="G130" s="33"/>
      <c r="H130" s="33"/>
      <c r="J130" s="28">
        <v>0</v>
      </c>
      <c r="K130" s="19"/>
      <c r="M130" s="39"/>
      <c r="N130" s="39"/>
      <c r="O130" s="39"/>
      <c r="P130" s="39"/>
      <c r="Q130" s="39"/>
      <c r="R130" s="39"/>
      <c r="S130" s="39"/>
      <c r="T130" s="39"/>
      <c r="U130" s="39"/>
      <c r="V130" s="39"/>
      <c r="W130" s="39"/>
      <c r="X130" s="39"/>
      <c r="Y130" s="39"/>
      <c r="Z130" s="39"/>
    </row>
    <row r="131" spans="1:26" ht="16" x14ac:dyDescent="0.2">
      <c r="A131" s="34" t="s">
        <v>2</v>
      </c>
      <c r="B131" s="33" t="s">
        <v>1913</v>
      </c>
      <c r="C131" s="33"/>
      <c r="D131" s="33"/>
      <c r="E131" s="33"/>
      <c r="F131" s="33"/>
      <c r="G131" s="33"/>
      <c r="H131" s="33"/>
      <c r="J131" s="28">
        <v>0</v>
      </c>
      <c r="K131" s="19"/>
      <c r="M131" s="39"/>
      <c r="N131" s="39"/>
      <c r="O131" s="39"/>
      <c r="P131" s="39"/>
      <c r="Q131" s="39"/>
      <c r="R131" s="39"/>
      <c r="S131" s="39"/>
      <c r="T131" s="39"/>
      <c r="U131" s="39"/>
      <c r="V131" s="39"/>
      <c r="W131" s="39"/>
      <c r="X131" s="39"/>
      <c r="Y131" s="39"/>
      <c r="Z131" s="39"/>
    </row>
    <row r="132" spans="1:26" ht="16" x14ac:dyDescent="0.2">
      <c r="A132" s="42" t="s">
        <v>3</v>
      </c>
      <c r="B132" s="41" t="s">
        <v>395</v>
      </c>
      <c r="C132" s="41"/>
      <c r="D132" s="41"/>
      <c r="E132" s="41"/>
      <c r="F132" s="41"/>
      <c r="G132" s="41"/>
      <c r="H132" s="41"/>
      <c r="I132" s="40" t="s">
        <v>2154</v>
      </c>
      <c r="J132" s="28">
        <f>IF(ISNUMBER(SEARCH("x",I132)),1,0)</f>
        <v>1</v>
      </c>
      <c r="K132" s="19"/>
      <c r="M132" s="39"/>
      <c r="N132" s="39"/>
      <c r="O132" s="39"/>
      <c r="P132" s="39"/>
      <c r="Q132" s="39"/>
      <c r="R132" s="39"/>
      <c r="S132" s="39"/>
      <c r="T132" s="39"/>
      <c r="U132" s="39"/>
      <c r="V132" s="39"/>
      <c r="W132" s="39"/>
      <c r="X132" s="39"/>
      <c r="Y132" s="39"/>
      <c r="Z132" s="39"/>
    </row>
    <row r="133" spans="1:26" s="27" customFormat="1" x14ac:dyDescent="0.2"/>
    <row r="134" spans="1:26" x14ac:dyDescent="0.2">
      <c r="A134" s="37" t="s">
        <v>2093</v>
      </c>
      <c r="B134" s="37"/>
      <c r="C134" s="37"/>
      <c r="D134" s="37"/>
      <c r="E134" s="37"/>
      <c r="F134" s="37"/>
      <c r="G134" s="37"/>
      <c r="H134" s="37"/>
      <c r="I134" s="36" t="s">
        <v>1858</v>
      </c>
      <c r="M134" s="43" t="s">
        <v>2206</v>
      </c>
      <c r="N134" s="39"/>
      <c r="O134" s="39"/>
      <c r="P134" s="39"/>
      <c r="Q134" s="39"/>
      <c r="R134" s="39"/>
      <c r="S134" s="39"/>
      <c r="T134" s="39"/>
      <c r="U134" s="39"/>
      <c r="V134" s="39"/>
      <c r="W134" s="39"/>
      <c r="X134" s="39"/>
      <c r="Y134" s="39"/>
      <c r="Z134" s="39"/>
    </row>
    <row r="135" spans="1:26" x14ac:dyDescent="0.2">
      <c r="A135" s="35" t="s">
        <v>2092</v>
      </c>
      <c r="B135" s="35"/>
      <c r="C135" s="35"/>
      <c r="D135" s="35"/>
      <c r="E135" s="35"/>
      <c r="F135" s="35"/>
      <c r="G135" s="35"/>
      <c r="H135" s="35"/>
      <c r="I135" s="35"/>
      <c r="M135" s="39"/>
      <c r="N135" s="39"/>
      <c r="O135" s="39"/>
      <c r="P135" s="39"/>
      <c r="Q135" s="39"/>
      <c r="R135" s="39"/>
      <c r="S135" s="39"/>
      <c r="T135" s="39"/>
      <c r="U135" s="39"/>
      <c r="V135" s="39"/>
      <c r="W135" s="39"/>
      <c r="X135" s="39"/>
      <c r="Y135" s="39"/>
      <c r="Z135" s="39"/>
    </row>
    <row r="136" spans="1:26" x14ac:dyDescent="0.2">
      <c r="A136" s="35"/>
      <c r="B136" s="35"/>
      <c r="C136" s="35"/>
      <c r="D136" s="35"/>
      <c r="E136" s="35"/>
      <c r="F136" s="35"/>
      <c r="G136" s="35"/>
      <c r="H136" s="35"/>
      <c r="I136" s="35"/>
      <c r="M136" s="39"/>
      <c r="N136" s="39"/>
      <c r="O136" s="39"/>
      <c r="P136" s="39"/>
      <c r="Q136" s="39"/>
      <c r="R136" s="39"/>
      <c r="S136" s="39"/>
      <c r="T136" s="39"/>
      <c r="U136" s="39"/>
      <c r="V136" s="39"/>
      <c r="W136" s="39"/>
      <c r="X136" s="39"/>
      <c r="Y136" s="39"/>
      <c r="Z136" s="39"/>
    </row>
    <row r="137" spans="1:26" x14ac:dyDescent="0.2">
      <c r="A137" s="35"/>
      <c r="B137" s="35"/>
      <c r="C137" s="35"/>
      <c r="D137" s="35"/>
      <c r="E137" s="35"/>
      <c r="F137" s="35"/>
      <c r="G137" s="35"/>
      <c r="H137" s="35"/>
      <c r="I137" s="35"/>
      <c r="M137" s="39"/>
      <c r="N137" s="39"/>
      <c r="O137" s="39"/>
      <c r="P137" s="39"/>
      <c r="Q137" s="39"/>
      <c r="R137" s="39"/>
      <c r="S137" s="39"/>
      <c r="T137" s="39"/>
      <c r="U137" s="39"/>
      <c r="V137" s="39"/>
      <c r="W137" s="39"/>
      <c r="X137" s="39"/>
      <c r="Y137" s="39"/>
      <c r="Z137" s="39"/>
    </row>
    <row r="138" spans="1:26" ht="42" customHeight="1" x14ac:dyDescent="0.2">
      <c r="A138" s="35"/>
      <c r="B138" s="35"/>
      <c r="C138" s="35"/>
      <c r="D138" s="35"/>
      <c r="E138" s="35"/>
      <c r="F138" s="35"/>
      <c r="G138" s="35"/>
      <c r="H138" s="35"/>
      <c r="I138" s="35"/>
      <c r="M138" s="39"/>
      <c r="N138" s="39"/>
      <c r="O138" s="39"/>
      <c r="P138" s="39"/>
      <c r="Q138" s="39"/>
      <c r="R138" s="39"/>
      <c r="S138" s="39"/>
      <c r="T138" s="39"/>
      <c r="U138" s="39"/>
      <c r="V138" s="39"/>
      <c r="W138" s="39"/>
      <c r="X138" s="39"/>
      <c r="Y138" s="39"/>
      <c r="Z138" s="39"/>
    </row>
    <row r="139" spans="1:26" ht="16" x14ac:dyDescent="0.2">
      <c r="A139" s="34" t="s">
        <v>0</v>
      </c>
      <c r="B139" s="33" t="s">
        <v>2091</v>
      </c>
      <c r="C139" s="33"/>
      <c r="D139" s="33"/>
      <c r="E139" s="33"/>
      <c r="F139" s="33"/>
      <c r="G139" s="33"/>
      <c r="H139" s="33"/>
      <c r="J139" s="28">
        <v>0</v>
      </c>
      <c r="K139" s="19">
        <f>SUM(J139:J142)</f>
        <v>1</v>
      </c>
      <c r="M139" s="39"/>
      <c r="N139" s="39"/>
      <c r="O139" s="39"/>
      <c r="P139" s="39"/>
      <c r="Q139" s="39"/>
      <c r="R139" s="39"/>
      <c r="S139" s="39"/>
      <c r="T139" s="39"/>
      <c r="U139" s="39"/>
      <c r="V139" s="39"/>
      <c r="W139" s="39"/>
      <c r="X139" s="39"/>
      <c r="Y139" s="39"/>
      <c r="Z139" s="39"/>
    </row>
    <row r="140" spans="1:26" ht="16" x14ac:dyDescent="0.2">
      <c r="A140" s="34" t="s">
        <v>1</v>
      </c>
      <c r="B140" s="33" t="s">
        <v>1909</v>
      </c>
      <c r="C140" s="33"/>
      <c r="D140" s="33"/>
      <c r="E140" s="33"/>
      <c r="F140" s="33"/>
      <c r="G140" s="33"/>
      <c r="H140" s="33"/>
      <c r="J140" s="28">
        <v>0</v>
      </c>
      <c r="K140" s="19"/>
      <c r="M140" s="39"/>
      <c r="N140" s="39"/>
      <c r="O140" s="39"/>
      <c r="P140" s="39"/>
      <c r="Q140" s="39"/>
      <c r="R140" s="39"/>
      <c r="S140" s="39"/>
      <c r="T140" s="39"/>
      <c r="U140" s="39"/>
      <c r="V140" s="39"/>
      <c r="W140" s="39"/>
      <c r="X140" s="39"/>
      <c r="Y140" s="39"/>
      <c r="Z140" s="39"/>
    </row>
    <row r="141" spans="1:26" ht="16" x14ac:dyDescent="0.2">
      <c r="A141" s="42" t="s">
        <v>2</v>
      </c>
      <c r="B141" s="41" t="s">
        <v>2090</v>
      </c>
      <c r="C141" s="41"/>
      <c r="D141" s="41"/>
      <c r="E141" s="41"/>
      <c r="F141" s="41"/>
      <c r="G141" s="41"/>
      <c r="H141" s="41"/>
      <c r="I141" s="40" t="s">
        <v>2154</v>
      </c>
      <c r="J141" s="28">
        <f>IF(ISNUMBER(SEARCH("x",I141)),1,0)</f>
        <v>1</v>
      </c>
      <c r="K141" s="19"/>
      <c r="M141" s="39"/>
      <c r="N141" s="39"/>
      <c r="O141" s="39"/>
      <c r="P141" s="39"/>
      <c r="Q141" s="39"/>
      <c r="R141" s="39"/>
      <c r="S141" s="39"/>
      <c r="T141" s="39"/>
      <c r="U141" s="39"/>
      <c r="V141" s="39"/>
      <c r="W141" s="39"/>
      <c r="X141" s="39"/>
      <c r="Y141" s="39"/>
      <c r="Z141" s="39"/>
    </row>
    <row r="142" spans="1:26" ht="16" x14ac:dyDescent="0.2">
      <c r="A142" s="34" t="s">
        <v>3</v>
      </c>
      <c r="B142" s="33" t="s">
        <v>2089</v>
      </c>
      <c r="C142" s="33"/>
      <c r="D142" s="33"/>
      <c r="E142" s="33"/>
      <c r="F142" s="33"/>
      <c r="G142" s="33"/>
      <c r="H142" s="33"/>
      <c r="J142" s="28">
        <v>0</v>
      </c>
      <c r="K142" s="19"/>
      <c r="M142" s="39"/>
      <c r="N142" s="39"/>
      <c r="O142" s="39"/>
      <c r="P142" s="39"/>
      <c r="Q142" s="39"/>
      <c r="R142" s="39"/>
      <c r="S142" s="39"/>
      <c r="T142" s="39"/>
      <c r="U142" s="39"/>
      <c r="V142" s="39"/>
      <c r="W142" s="39"/>
      <c r="X142" s="39"/>
      <c r="Y142" s="39"/>
      <c r="Z142" s="39"/>
    </row>
    <row r="143" spans="1:26" s="27" customFormat="1" x14ac:dyDescent="0.2"/>
    <row r="144" spans="1:26" x14ac:dyDescent="0.2">
      <c r="A144" s="37" t="s">
        <v>2088</v>
      </c>
      <c r="B144" s="37"/>
      <c r="C144" s="37"/>
      <c r="D144" s="37"/>
      <c r="E144" s="37"/>
      <c r="F144" s="37"/>
      <c r="G144" s="37"/>
      <c r="H144" s="37"/>
      <c r="I144" s="36" t="s">
        <v>1858</v>
      </c>
      <c r="M144" s="43" t="s">
        <v>2205</v>
      </c>
      <c r="N144" s="39"/>
      <c r="O144" s="39"/>
      <c r="P144" s="39"/>
      <c r="Q144" s="39"/>
      <c r="R144" s="39"/>
      <c r="S144" s="39"/>
      <c r="T144" s="39"/>
      <c r="U144" s="39"/>
      <c r="V144" s="39"/>
      <c r="W144" s="39"/>
      <c r="X144" s="39"/>
      <c r="Y144" s="39"/>
      <c r="Z144" s="39"/>
    </row>
    <row r="145" spans="1:26" x14ac:dyDescent="0.2">
      <c r="A145" s="35" t="s">
        <v>2087</v>
      </c>
      <c r="B145" s="35"/>
      <c r="C145" s="35"/>
      <c r="D145" s="35"/>
      <c r="E145" s="35"/>
      <c r="F145" s="35"/>
      <c r="G145" s="35"/>
      <c r="H145" s="35"/>
      <c r="I145" s="35"/>
      <c r="M145" s="39"/>
      <c r="N145" s="39"/>
      <c r="O145" s="39"/>
      <c r="P145" s="39"/>
      <c r="Q145" s="39"/>
      <c r="R145" s="39"/>
      <c r="S145" s="39"/>
      <c r="T145" s="39"/>
      <c r="U145" s="39"/>
      <c r="V145" s="39"/>
      <c r="W145" s="39"/>
      <c r="X145" s="39"/>
      <c r="Y145" s="39"/>
      <c r="Z145" s="39"/>
    </row>
    <row r="146" spans="1:26" x14ac:dyDescent="0.2">
      <c r="A146" s="35"/>
      <c r="B146" s="35"/>
      <c r="C146" s="35"/>
      <c r="D146" s="35"/>
      <c r="E146" s="35"/>
      <c r="F146" s="35"/>
      <c r="G146" s="35"/>
      <c r="H146" s="35"/>
      <c r="I146" s="35"/>
      <c r="M146" s="39"/>
      <c r="N146" s="39"/>
      <c r="O146" s="39"/>
      <c r="P146" s="39"/>
      <c r="Q146" s="39"/>
      <c r="R146" s="39"/>
      <c r="S146" s="39"/>
      <c r="T146" s="39"/>
      <c r="U146" s="39"/>
      <c r="V146" s="39"/>
      <c r="W146" s="39"/>
      <c r="X146" s="39"/>
      <c r="Y146" s="39"/>
      <c r="Z146" s="39"/>
    </row>
    <row r="147" spans="1:26" x14ac:dyDescent="0.2">
      <c r="A147" s="35"/>
      <c r="B147" s="35"/>
      <c r="C147" s="35"/>
      <c r="D147" s="35"/>
      <c r="E147" s="35"/>
      <c r="F147" s="35"/>
      <c r="G147" s="35"/>
      <c r="H147" s="35"/>
      <c r="I147" s="35"/>
      <c r="M147" s="39"/>
      <c r="N147" s="39"/>
      <c r="O147" s="39"/>
      <c r="P147" s="39"/>
      <c r="Q147" s="39"/>
      <c r="R147" s="39"/>
      <c r="S147" s="39"/>
      <c r="T147" s="39"/>
      <c r="U147" s="39"/>
      <c r="V147" s="39"/>
      <c r="W147" s="39"/>
      <c r="X147" s="39"/>
      <c r="Y147" s="39"/>
      <c r="Z147" s="39"/>
    </row>
    <row r="148" spans="1:26" ht="195.5" customHeight="1" x14ac:dyDescent="0.2">
      <c r="A148" s="35"/>
      <c r="B148" s="35"/>
      <c r="C148" s="35"/>
      <c r="D148" s="35"/>
      <c r="E148" s="35"/>
      <c r="F148" s="35"/>
      <c r="G148" s="35"/>
      <c r="H148" s="35"/>
      <c r="I148" s="35"/>
      <c r="M148" s="39"/>
      <c r="N148" s="39"/>
      <c r="O148" s="39"/>
      <c r="P148" s="39"/>
      <c r="Q148" s="39"/>
      <c r="R148" s="39"/>
      <c r="S148" s="39"/>
      <c r="T148" s="39"/>
      <c r="U148" s="39"/>
      <c r="V148" s="39"/>
      <c r="W148" s="39"/>
      <c r="X148" s="39"/>
      <c r="Y148" s="39"/>
      <c r="Z148" s="39"/>
    </row>
    <row r="149" spans="1:26" ht="16" x14ac:dyDescent="0.2">
      <c r="A149" s="34" t="s">
        <v>0</v>
      </c>
      <c r="B149" s="33" t="s">
        <v>2086</v>
      </c>
      <c r="C149" s="33"/>
      <c r="D149" s="33"/>
      <c r="E149" s="33"/>
      <c r="F149" s="33"/>
      <c r="G149" s="33"/>
      <c r="H149" s="33"/>
      <c r="J149" s="28">
        <v>0</v>
      </c>
      <c r="K149" s="19">
        <f>SUM(J149:J152)</f>
        <v>1</v>
      </c>
      <c r="M149" s="39"/>
      <c r="N149" s="39"/>
      <c r="O149" s="39"/>
      <c r="P149" s="39"/>
      <c r="Q149" s="39"/>
      <c r="R149" s="39"/>
      <c r="S149" s="39"/>
      <c r="T149" s="39"/>
      <c r="U149" s="39"/>
      <c r="V149" s="39"/>
      <c r="W149" s="39"/>
      <c r="X149" s="39"/>
      <c r="Y149" s="39"/>
      <c r="Z149" s="39"/>
    </row>
    <row r="150" spans="1:26" ht="16" x14ac:dyDescent="0.2">
      <c r="A150" s="42" t="s">
        <v>1</v>
      </c>
      <c r="B150" s="41" t="s">
        <v>2085</v>
      </c>
      <c r="C150" s="41"/>
      <c r="D150" s="41"/>
      <c r="E150" s="41"/>
      <c r="F150" s="41"/>
      <c r="G150" s="41"/>
      <c r="H150" s="41"/>
      <c r="I150" s="40" t="s">
        <v>2154</v>
      </c>
      <c r="J150" s="28">
        <f>IF(ISNUMBER(SEARCH("x",I150)),1,0)</f>
        <v>1</v>
      </c>
      <c r="K150" s="19"/>
      <c r="M150" s="39"/>
      <c r="N150" s="39"/>
      <c r="O150" s="39"/>
      <c r="P150" s="39"/>
      <c r="Q150" s="39"/>
      <c r="R150" s="39"/>
      <c r="S150" s="39"/>
      <c r="T150" s="39"/>
      <c r="U150" s="39"/>
      <c r="V150" s="39"/>
      <c r="W150" s="39"/>
      <c r="X150" s="39"/>
      <c r="Y150" s="39"/>
      <c r="Z150" s="39"/>
    </row>
    <row r="151" spans="1:26" ht="16" x14ac:dyDescent="0.2">
      <c r="A151" s="34" t="s">
        <v>2</v>
      </c>
      <c r="B151" s="33" t="s">
        <v>2084</v>
      </c>
      <c r="C151" s="33"/>
      <c r="D151" s="33"/>
      <c r="E151" s="33"/>
      <c r="F151" s="33"/>
      <c r="G151" s="33"/>
      <c r="H151" s="33"/>
      <c r="J151" s="38">
        <v>0</v>
      </c>
      <c r="K151" s="19"/>
      <c r="M151" s="39"/>
      <c r="N151" s="39"/>
      <c r="O151" s="39"/>
      <c r="P151" s="39"/>
      <c r="Q151" s="39"/>
      <c r="R151" s="39"/>
      <c r="S151" s="39"/>
      <c r="T151" s="39"/>
      <c r="U151" s="39"/>
      <c r="V151" s="39"/>
      <c r="W151" s="39"/>
      <c r="X151" s="39"/>
      <c r="Y151" s="39"/>
      <c r="Z151" s="39"/>
    </row>
    <row r="152" spans="1:26" ht="16" x14ac:dyDescent="0.2">
      <c r="A152" s="34" t="s">
        <v>3</v>
      </c>
      <c r="B152" s="33" t="s">
        <v>2083</v>
      </c>
      <c r="C152" s="33"/>
      <c r="D152" s="33"/>
      <c r="E152" s="33"/>
      <c r="F152" s="33"/>
      <c r="G152" s="33"/>
      <c r="H152" s="33"/>
      <c r="J152" s="28">
        <v>0</v>
      </c>
      <c r="K152" s="19"/>
      <c r="M152" s="39"/>
      <c r="N152" s="39"/>
      <c r="O152" s="39"/>
      <c r="P152" s="39"/>
      <c r="Q152" s="39"/>
      <c r="R152" s="39"/>
      <c r="S152" s="39"/>
      <c r="T152" s="39"/>
      <c r="U152" s="39"/>
      <c r="V152" s="39"/>
      <c r="W152" s="39"/>
      <c r="X152" s="39"/>
      <c r="Y152" s="39"/>
      <c r="Z152" s="39"/>
    </row>
    <row r="153" spans="1:26" s="27" customFormat="1" x14ac:dyDescent="0.2"/>
    <row r="154" spans="1:26" x14ac:dyDescent="0.2">
      <c r="A154" s="37" t="s">
        <v>2082</v>
      </c>
      <c r="B154" s="37"/>
      <c r="C154" s="37"/>
      <c r="D154" s="37"/>
      <c r="E154" s="37"/>
      <c r="F154" s="37"/>
      <c r="G154" s="37"/>
      <c r="H154" s="37"/>
      <c r="I154" s="36" t="s">
        <v>1858</v>
      </c>
      <c r="M154" s="43" t="s">
        <v>2204</v>
      </c>
      <c r="N154" s="39"/>
      <c r="O154" s="39"/>
      <c r="P154" s="39"/>
      <c r="Q154" s="39"/>
      <c r="R154" s="39"/>
      <c r="S154" s="39"/>
      <c r="T154" s="39"/>
      <c r="U154" s="39"/>
      <c r="V154" s="39"/>
      <c r="W154" s="39"/>
      <c r="X154" s="39"/>
      <c r="Y154" s="39"/>
      <c r="Z154" s="39"/>
    </row>
    <row r="155" spans="1:26" x14ac:dyDescent="0.2">
      <c r="A155" s="35" t="s">
        <v>2081</v>
      </c>
      <c r="B155" s="35"/>
      <c r="C155" s="35"/>
      <c r="D155" s="35"/>
      <c r="E155" s="35"/>
      <c r="F155" s="35"/>
      <c r="G155" s="35"/>
      <c r="H155" s="35"/>
      <c r="I155" s="35"/>
      <c r="M155" s="39"/>
      <c r="N155" s="39"/>
      <c r="O155" s="39"/>
      <c r="P155" s="39"/>
      <c r="Q155" s="39"/>
      <c r="R155" s="39"/>
      <c r="S155" s="39"/>
      <c r="T155" s="39"/>
      <c r="U155" s="39"/>
      <c r="V155" s="39"/>
      <c r="W155" s="39"/>
      <c r="X155" s="39"/>
      <c r="Y155" s="39"/>
      <c r="Z155" s="39"/>
    </row>
    <row r="156" spans="1:26" x14ac:dyDescent="0.2">
      <c r="A156" s="35"/>
      <c r="B156" s="35"/>
      <c r="C156" s="35"/>
      <c r="D156" s="35"/>
      <c r="E156" s="35"/>
      <c r="F156" s="35"/>
      <c r="G156" s="35"/>
      <c r="H156" s="35"/>
      <c r="I156" s="35"/>
      <c r="M156" s="39"/>
      <c r="N156" s="39"/>
      <c r="O156" s="39"/>
      <c r="P156" s="39"/>
      <c r="Q156" s="39"/>
      <c r="R156" s="39"/>
      <c r="S156" s="39"/>
      <c r="T156" s="39"/>
      <c r="U156" s="39"/>
      <c r="V156" s="39"/>
      <c r="W156" s="39"/>
      <c r="X156" s="39"/>
      <c r="Y156" s="39"/>
      <c r="Z156" s="39"/>
    </row>
    <row r="157" spans="1:26" x14ac:dyDescent="0.2">
      <c r="A157" s="35"/>
      <c r="B157" s="35"/>
      <c r="C157" s="35"/>
      <c r="D157" s="35"/>
      <c r="E157" s="35"/>
      <c r="F157" s="35"/>
      <c r="G157" s="35"/>
      <c r="H157" s="35"/>
      <c r="I157" s="35"/>
      <c r="M157" s="39"/>
      <c r="N157" s="39"/>
      <c r="O157" s="39"/>
      <c r="P157" s="39"/>
      <c r="Q157" s="39"/>
      <c r="R157" s="39"/>
      <c r="S157" s="39"/>
      <c r="T157" s="39"/>
      <c r="U157" s="39"/>
      <c r="V157" s="39"/>
      <c r="W157" s="39"/>
      <c r="X157" s="39"/>
      <c r="Y157" s="39"/>
      <c r="Z157" s="39"/>
    </row>
    <row r="158" spans="1:26" ht="31.75" customHeight="1" x14ac:dyDescent="0.2">
      <c r="A158" s="35"/>
      <c r="B158" s="35"/>
      <c r="C158" s="35"/>
      <c r="D158" s="35"/>
      <c r="E158" s="35"/>
      <c r="F158" s="35"/>
      <c r="G158" s="35"/>
      <c r="H158" s="35"/>
      <c r="I158" s="35"/>
      <c r="M158" s="39"/>
      <c r="N158" s="39"/>
      <c r="O158" s="39"/>
      <c r="P158" s="39"/>
      <c r="Q158" s="39"/>
      <c r="R158" s="39"/>
      <c r="S158" s="39"/>
      <c r="T158" s="39"/>
      <c r="U158" s="39"/>
      <c r="V158" s="39"/>
      <c r="W158" s="39"/>
      <c r="X158" s="39"/>
      <c r="Y158" s="39"/>
      <c r="Z158" s="39"/>
    </row>
    <row r="159" spans="1:26" ht="16" x14ac:dyDescent="0.2">
      <c r="A159" s="34" t="s">
        <v>0</v>
      </c>
      <c r="B159" s="33" t="s">
        <v>1454</v>
      </c>
      <c r="C159" s="33"/>
      <c r="D159" s="33"/>
      <c r="E159" s="33"/>
      <c r="F159" s="33"/>
      <c r="G159" s="33"/>
      <c r="H159" s="33"/>
      <c r="J159" s="28">
        <v>0</v>
      </c>
      <c r="K159" s="19">
        <f>SUM(J159:J162)</f>
        <v>1</v>
      </c>
      <c r="M159" s="39"/>
      <c r="N159" s="39"/>
      <c r="O159" s="39"/>
      <c r="P159" s="39"/>
      <c r="Q159" s="39"/>
      <c r="R159" s="39"/>
      <c r="S159" s="39"/>
      <c r="T159" s="39"/>
      <c r="U159" s="39"/>
      <c r="V159" s="39"/>
      <c r="W159" s="39"/>
      <c r="X159" s="39"/>
      <c r="Y159" s="39"/>
      <c r="Z159" s="39"/>
    </row>
    <row r="160" spans="1:26" ht="16" x14ac:dyDescent="0.2">
      <c r="A160" s="34" t="s">
        <v>1</v>
      </c>
      <c r="B160" s="33" t="s">
        <v>1254</v>
      </c>
      <c r="C160" s="33"/>
      <c r="D160" s="33"/>
      <c r="E160" s="33"/>
      <c r="F160" s="33"/>
      <c r="G160" s="33"/>
      <c r="H160" s="33"/>
      <c r="J160" s="28">
        <v>0</v>
      </c>
      <c r="K160" s="19"/>
      <c r="M160" s="39"/>
      <c r="N160" s="39"/>
      <c r="O160" s="39"/>
      <c r="P160" s="39"/>
      <c r="Q160" s="39"/>
      <c r="R160" s="39"/>
      <c r="S160" s="39"/>
      <c r="T160" s="39"/>
      <c r="U160" s="39"/>
      <c r="V160" s="39"/>
      <c r="W160" s="39"/>
      <c r="X160" s="39"/>
      <c r="Y160" s="39"/>
      <c r="Z160" s="39"/>
    </row>
    <row r="161" spans="1:26" ht="16" x14ac:dyDescent="0.2">
      <c r="A161" s="42" t="s">
        <v>2</v>
      </c>
      <c r="B161" s="41" t="s">
        <v>1099</v>
      </c>
      <c r="C161" s="41"/>
      <c r="D161" s="41"/>
      <c r="E161" s="41"/>
      <c r="F161" s="41"/>
      <c r="G161" s="41"/>
      <c r="H161" s="41"/>
      <c r="I161" s="40" t="s">
        <v>2154</v>
      </c>
      <c r="J161" s="28">
        <f>IF(ISNUMBER(SEARCH("x",I161)),1,0)</f>
        <v>1</v>
      </c>
      <c r="K161" s="19"/>
      <c r="M161" s="39"/>
      <c r="N161" s="39"/>
      <c r="O161" s="39"/>
      <c r="P161" s="39"/>
      <c r="Q161" s="39"/>
      <c r="R161" s="39"/>
      <c r="S161" s="39"/>
      <c r="T161" s="39"/>
      <c r="U161" s="39"/>
      <c r="V161" s="39"/>
      <c r="W161" s="39"/>
      <c r="X161" s="39"/>
      <c r="Y161" s="39"/>
      <c r="Z161" s="39"/>
    </row>
    <row r="162" spans="1:26" ht="16" x14ac:dyDescent="0.2">
      <c r="A162" s="34" t="s">
        <v>3</v>
      </c>
      <c r="B162" s="33" t="s">
        <v>1455</v>
      </c>
      <c r="C162" s="33"/>
      <c r="D162" s="33"/>
      <c r="E162" s="33"/>
      <c r="F162" s="33"/>
      <c r="G162" s="33"/>
      <c r="H162" s="33"/>
      <c r="J162" s="28">
        <v>0</v>
      </c>
      <c r="K162" s="19"/>
      <c r="M162" s="39"/>
      <c r="N162" s="39"/>
      <c r="O162" s="39"/>
      <c r="P162" s="39"/>
      <c r="Q162" s="39"/>
      <c r="R162" s="39"/>
      <c r="S162" s="39"/>
      <c r="T162" s="39"/>
      <c r="U162" s="39"/>
      <c r="V162" s="39"/>
      <c r="W162" s="39"/>
      <c r="X162" s="39"/>
      <c r="Y162" s="39"/>
      <c r="Z162" s="39"/>
    </row>
    <row r="163" spans="1:26" s="27" customFormat="1" x14ac:dyDescent="0.2"/>
    <row r="164" spans="1:26" x14ac:dyDescent="0.2">
      <c r="A164" s="37" t="s">
        <v>2080</v>
      </c>
      <c r="B164" s="37"/>
      <c r="C164" s="37"/>
      <c r="D164" s="37"/>
      <c r="E164" s="37"/>
      <c r="F164" s="37"/>
      <c r="G164" s="37"/>
      <c r="H164" s="37"/>
      <c r="I164" s="36" t="s">
        <v>1858</v>
      </c>
      <c r="M164" s="43" t="s">
        <v>2203</v>
      </c>
      <c r="N164" s="39"/>
      <c r="O164" s="39"/>
      <c r="P164" s="39"/>
      <c r="Q164" s="39"/>
      <c r="R164" s="39"/>
      <c r="S164" s="39"/>
      <c r="T164" s="39"/>
      <c r="U164" s="39"/>
      <c r="V164" s="39"/>
      <c r="W164" s="39"/>
      <c r="X164" s="39"/>
      <c r="Y164" s="39"/>
      <c r="Z164" s="39"/>
    </row>
    <row r="165" spans="1:26" x14ac:dyDescent="0.2">
      <c r="A165" s="35" t="s">
        <v>2079</v>
      </c>
      <c r="B165" s="35"/>
      <c r="C165" s="35"/>
      <c r="D165" s="35"/>
      <c r="E165" s="35"/>
      <c r="F165" s="35"/>
      <c r="G165" s="35"/>
      <c r="H165" s="35"/>
      <c r="I165" s="35"/>
      <c r="M165" s="39"/>
      <c r="N165" s="39"/>
      <c r="O165" s="39"/>
      <c r="P165" s="39"/>
      <c r="Q165" s="39"/>
      <c r="R165" s="39"/>
      <c r="S165" s="39"/>
      <c r="T165" s="39"/>
      <c r="U165" s="39"/>
      <c r="V165" s="39"/>
      <c r="W165" s="39"/>
      <c r="X165" s="39"/>
      <c r="Y165" s="39"/>
      <c r="Z165" s="39"/>
    </row>
    <row r="166" spans="1:26" x14ac:dyDescent="0.2">
      <c r="A166" s="35"/>
      <c r="B166" s="35"/>
      <c r="C166" s="35"/>
      <c r="D166" s="35"/>
      <c r="E166" s="35"/>
      <c r="F166" s="35"/>
      <c r="G166" s="35"/>
      <c r="H166" s="35"/>
      <c r="I166" s="35"/>
      <c r="M166" s="39"/>
      <c r="N166" s="39"/>
      <c r="O166" s="39"/>
      <c r="P166" s="39"/>
      <c r="Q166" s="39"/>
      <c r="R166" s="39"/>
      <c r="S166" s="39"/>
      <c r="T166" s="39"/>
      <c r="U166" s="39"/>
      <c r="V166" s="39"/>
      <c r="W166" s="39"/>
      <c r="X166" s="39"/>
      <c r="Y166" s="39"/>
      <c r="Z166" s="39"/>
    </row>
    <row r="167" spans="1:26" x14ac:dyDescent="0.2">
      <c r="A167" s="35"/>
      <c r="B167" s="35"/>
      <c r="C167" s="35"/>
      <c r="D167" s="35"/>
      <c r="E167" s="35"/>
      <c r="F167" s="35"/>
      <c r="G167" s="35"/>
      <c r="H167" s="35"/>
      <c r="I167" s="35"/>
      <c r="M167" s="39"/>
      <c r="N167" s="39"/>
      <c r="O167" s="39"/>
      <c r="P167" s="39"/>
      <c r="Q167" s="39"/>
      <c r="R167" s="39"/>
      <c r="S167" s="39"/>
      <c r="T167" s="39"/>
      <c r="U167" s="39"/>
      <c r="V167" s="39"/>
      <c r="W167" s="39"/>
      <c r="X167" s="39"/>
      <c r="Y167" s="39"/>
      <c r="Z167" s="39"/>
    </row>
    <row r="168" spans="1:26" x14ac:dyDescent="0.2">
      <c r="A168" s="35"/>
      <c r="B168" s="35"/>
      <c r="C168" s="35"/>
      <c r="D168" s="35"/>
      <c r="E168" s="35"/>
      <c r="F168" s="35"/>
      <c r="G168" s="35"/>
      <c r="H168" s="35"/>
      <c r="I168" s="35"/>
      <c r="M168" s="39"/>
      <c r="N168" s="39"/>
      <c r="O168" s="39"/>
      <c r="P168" s="39"/>
      <c r="Q168" s="39"/>
      <c r="R168" s="39"/>
      <c r="S168" s="39"/>
      <c r="T168" s="39"/>
      <c r="U168" s="39"/>
      <c r="V168" s="39"/>
      <c r="W168" s="39"/>
      <c r="X168" s="39"/>
      <c r="Y168" s="39"/>
      <c r="Z168" s="39"/>
    </row>
    <row r="169" spans="1:26" ht="16" x14ac:dyDescent="0.2">
      <c r="A169" s="42" t="s">
        <v>0</v>
      </c>
      <c r="B169" s="41" t="s">
        <v>2078</v>
      </c>
      <c r="C169" s="41"/>
      <c r="D169" s="41"/>
      <c r="E169" s="41"/>
      <c r="F169" s="41"/>
      <c r="G169" s="41"/>
      <c r="H169" s="41"/>
      <c r="I169" s="40" t="s">
        <v>2154</v>
      </c>
      <c r="J169" s="28">
        <f>IF(ISNUMBER(SEARCH("x",I169)),1,0)</f>
        <v>1</v>
      </c>
      <c r="K169" s="19">
        <f>SUM(J169:J172)</f>
        <v>1</v>
      </c>
      <c r="M169" s="39"/>
      <c r="N169" s="39"/>
      <c r="O169" s="39"/>
      <c r="P169" s="39"/>
      <c r="Q169" s="39"/>
      <c r="R169" s="39"/>
      <c r="S169" s="39"/>
      <c r="T169" s="39"/>
      <c r="U169" s="39"/>
      <c r="V169" s="39"/>
      <c r="W169" s="39"/>
      <c r="X169" s="39"/>
      <c r="Y169" s="39"/>
      <c r="Z169" s="39"/>
    </row>
    <row r="170" spans="1:26" ht="16" x14ac:dyDescent="0.2">
      <c r="A170" s="34" t="s">
        <v>1</v>
      </c>
      <c r="B170" s="33" t="s">
        <v>2077</v>
      </c>
      <c r="C170" s="33"/>
      <c r="D170" s="33"/>
      <c r="E170" s="33"/>
      <c r="F170" s="33"/>
      <c r="G170" s="33"/>
      <c r="H170" s="33"/>
      <c r="J170" s="28">
        <v>0</v>
      </c>
      <c r="K170" s="19"/>
      <c r="M170" s="39"/>
      <c r="N170" s="39"/>
      <c r="O170" s="39"/>
      <c r="P170" s="39"/>
      <c r="Q170" s="39"/>
      <c r="R170" s="39"/>
      <c r="S170" s="39"/>
      <c r="T170" s="39"/>
      <c r="U170" s="39"/>
      <c r="V170" s="39"/>
      <c r="W170" s="39"/>
      <c r="X170" s="39"/>
      <c r="Y170" s="39"/>
      <c r="Z170" s="39"/>
    </row>
    <row r="171" spans="1:26" ht="16" x14ac:dyDescent="0.2">
      <c r="A171" s="34" t="s">
        <v>2</v>
      </c>
      <c r="B171" s="33" t="s">
        <v>1254</v>
      </c>
      <c r="C171" s="33"/>
      <c r="D171" s="33"/>
      <c r="E171" s="33"/>
      <c r="F171" s="33"/>
      <c r="G171" s="33"/>
      <c r="H171" s="33"/>
      <c r="J171" s="38">
        <v>0</v>
      </c>
      <c r="K171" s="19"/>
      <c r="M171" s="39"/>
      <c r="N171" s="39"/>
      <c r="O171" s="39"/>
      <c r="P171" s="39"/>
      <c r="Q171" s="39"/>
      <c r="R171" s="39"/>
      <c r="S171" s="39"/>
      <c r="T171" s="39"/>
      <c r="U171" s="39"/>
      <c r="V171" s="39"/>
      <c r="W171" s="39"/>
      <c r="X171" s="39"/>
      <c r="Y171" s="39"/>
      <c r="Z171" s="39"/>
    </row>
    <row r="172" spans="1:26" ht="16" x14ac:dyDescent="0.2">
      <c r="A172" s="34" t="s">
        <v>3</v>
      </c>
      <c r="B172" s="33" t="s">
        <v>2076</v>
      </c>
      <c r="C172" s="33"/>
      <c r="D172" s="33"/>
      <c r="E172" s="33"/>
      <c r="F172" s="33"/>
      <c r="G172" s="33"/>
      <c r="H172" s="33"/>
      <c r="J172" s="38">
        <v>0</v>
      </c>
      <c r="K172" s="19"/>
      <c r="M172" s="39"/>
      <c r="N172" s="39"/>
      <c r="O172" s="39"/>
      <c r="P172" s="39"/>
      <c r="Q172" s="39"/>
      <c r="R172" s="39"/>
      <c r="S172" s="39"/>
      <c r="T172" s="39"/>
      <c r="U172" s="39"/>
      <c r="V172" s="39"/>
      <c r="W172" s="39"/>
      <c r="X172" s="39"/>
      <c r="Y172" s="39"/>
      <c r="Z172" s="39"/>
    </row>
    <row r="173" spans="1:26" s="27" customFormat="1" x14ac:dyDescent="0.2"/>
    <row r="174" spans="1:26" x14ac:dyDescent="0.2">
      <c r="A174" s="37" t="s">
        <v>2075</v>
      </c>
      <c r="B174" s="37"/>
      <c r="C174" s="37"/>
      <c r="D174" s="37"/>
      <c r="E174" s="37"/>
      <c r="F174" s="37"/>
      <c r="G174" s="37"/>
      <c r="H174" s="37"/>
      <c r="I174" s="36" t="s">
        <v>1858</v>
      </c>
      <c r="M174" s="43" t="s">
        <v>2202</v>
      </c>
      <c r="N174" s="39"/>
      <c r="O174" s="39"/>
      <c r="P174" s="39"/>
      <c r="Q174" s="39"/>
      <c r="R174" s="39"/>
      <c r="S174" s="39"/>
      <c r="T174" s="39"/>
      <c r="U174" s="39"/>
      <c r="V174" s="39"/>
      <c r="W174" s="39"/>
      <c r="X174" s="39"/>
      <c r="Y174" s="39"/>
      <c r="Z174" s="39"/>
    </row>
    <row r="175" spans="1:26" x14ac:dyDescent="0.2">
      <c r="A175" s="35" t="s">
        <v>2074</v>
      </c>
      <c r="B175" s="35"/>
      <c r="C175" s="35"/>
      <c r="D175" s="35"/>
      <c r="E175" s="35"/>
      <c r="F175" s="35"/>
      <c r="G175" s="35"/>
      <c r="H175" s="35"/>
      <c r="I175" s="35"/>
      <c r="M175" s="39"/>
      <c r="N175" s="39"/>
      <c r="O175" s="39"/>
      <c r="P175" s="39"/>
      <c r="Q175" s="39"/>
      <c r="R175" s="39"/>
      <c r="S175" s="39"/>
      <c r="T175" s="39"/>
      <c r="U175" s="39"/>
      <c r="V175" s="39"/>
      <c r="W175" s="39"/>
      <c r="X175" s="39"/>
      <c r="Y175" s="39"/>
      <c r="Z175" s="39"/>
    </row>
    <row r="176" spans="1:26" x14ac:dyDescent="0.2">
      <c r="A176" s="35"/>
      <c r="B176" s="35"/>
      <c r="C176" s="35"/>
      <c r="D176" s="35"/>
      <c r="E176" s="35"/>
      <c r="F176" s="35"/>
      <c r="G176" s="35"/>
      <c r="H176" s="35"/>
      <c r="I176" s="35"/>
      <c r="M176" s="39"/>
      <c r="N176" s="39"/>
      <c r="O176" s="39"/>
      <c r="P176" s="39"/>
      <c r="Q176" s="39"/>
      <c r="R176" s="39"/>
      <c r="S176" s="39"/>
      <c r="T176" s="39"/>
      <c r="U176" s="39"/>
      <c r="V176" s="39"/>
      <c r="W176" s="39"/>
      <c r="X176" s="39"/>
      <c r="Y176" s="39"/>
      <c r="Z176" s="39"/>
    </row>
    <row r="177" spans="1:26" x14ac:dyDescent="0.2">
      <c r="A177" s="35"/>
      <c r="B177" s="35"/>
      <c r="C177" s="35"/>
      <c r="D177" s="35"/>
      <c r="E177" s="35"/>
      <c r="F177" s="35"/>
      <c r="G177" s="35"/>
      <c r="H177" s="35"/>
      <c r="I177" s="35"/>
      <c r="M177" s="39"/>
      <c r="N177" s="39"/>
      <c r="O177" s="39"/>
      <c r="P177" s="39"/>
      <c r="Q177" s="39"/>
      <c r="R177" s="39"/>
      <c r="S177" s="39"/>
      <c r="T177" s="39"/>
      <c r="U177" s="39"/>
      <c r="V177" s="39"/>
      <c r="W177" s="39"/>
      <c r="X177" s="39"/>
      <c r="Y177" s="39"/>
      <c r="Z177" s="39"/>
    </row>
    <row r="178" spans="1:26" ht="40.75" customHeight="1" x14ac:dyDescent="0.2">
      <c r="A178" s="35"/>
      <c r="B178" s="35"/>
      <c r="C178" s="35"/>
      <c r="D178" s="35"/>
      <c r="E178" s="35"/>
      <c r="F178" s="35"/>
      <c r="G178" s="35"/>
      <c r="H178" s="35"/>
      <c r="I178" s="35"/>
      <c r="M178" s="39"/>
      <c r="N178" s="39"/>
      <c r="O178" s="39"/>
      <c r="P178" s="39"/>
      <c r="Q178" s="39"/>
      <c r="R178" s="39"/>
      <c r="S178" s="39"/>
      <c r="T178" s="39"/>
      <c r="U178" s="39"/>
      <c r="V178" s="39"/>
      <c r="W178" s="39"/>
      <c r="X178" s="39"/>
      <c r="Y178" s="39"/>
      <c r="Z178" s="39"/>
    </row>
    <row r="179" spans="1:26" ht="16" x14ac:dyDescent="0.2">
      <c r="A179" s="34" t="s">
        <v>0</v>
      </c>
      <c r="B179" s="33" t="s">
        <v>2073</v>
      </c>
      <c r="C179" s="33"/>
      <c r="D179" s="33"/>
      <c r="E179" s="33"/>
      <c r="F179" s="33"/>
      <c r="G179" s="33"/>
      <c r="H179" s="33"/>
      <c r="J179" s="28">
        <v>0</v>
      </c>
      <c r="K179" s="19">
        <f>SUM(J179:J182)</f>
        <v>1</v>
      </c>
      <c r="M179" s="39"/>
      <c r="N179" s="39"/>
      <c r="O179" s="39"/>
      <c r="P179" s="39"/>
      <c r="Q179" s="39"/>
      <c r="R179" s="39"/>
      <c r="S179" s="39"/>
      <c r="T179" s="39"/>
      <c r="U179" s="39"/>
      <c r="V179" s="39"/>
      <c r="W179" s="39"/>
      <c r="X179" s="39"/>
      <c r="Y179" s="39"/>
      <c r="Z179" s="39"/>
    </row>
    <row r="180" spans="1:26" ht="16" x14ac:dyDescent="0.2">
      <c r="A180" s="34" t="s">
        <v>1</v>
      </c>
      <c r="B180" s="33" t="s">
        <v>2072</v>
      </c>
      <c r="C180" s="33"/>
      <c r="D180" s="33"/>
      <c r="E180" s="33"/>
      <c r="F180" s="33"/>
      <c r="G180" s="33"/>
      <c r="H180" s="33"/>
      <c r="J180" s="28">
        <v>0</v>
      </c>
      <c r="K180" s="19"/>
      <c r="M180" s="39"/>
      <c r="N180" s="39"/>
      <c r="O180" s="39"/>
      <c r="P180" s="39"/>
      <c r="Q180" s="39"/>
      <c r="R180" s="39"/>
      <c r="S180" s="39"/>
      <c r="T180" s="39"/>
      <c r="U180" s="39"/>
      <c r="V180" s="39"/>
      <c r="W180" s="39"/>
      <c r="X180" s="39"/>
      <c r="Y180" s="39"/>
      <c r="Z180" s="39"/>
    </row>
    <row r="181" spans="1:26" ht="16" x14ac:dyDescent="0.2">
      <c r="A181" s="42" t="s">
        <v>2</v>
      </c>
      <c r="B181" s="41" t="s">
        <v>2071</v>
      </c>
      <c r="C181" s="41"/>
      <c r="D181" s="41"/>
      <c r="E181" s="41"/>
      <c r="F181" s="41"/>
      <c r="G181" s="41"/>
      <c r="H181" s="41"/>
      <c r="I181" s="40" t="s">
        <v>2154</v>
      </c>
      <c r="J181" s="28">
        <f>IF(ISNUMBER(SEARCH("x",I181)),1,0)</f>
        <v>1</v>
      </c>
      <c r="K181" s="19"/>
      <c r="M181" s="39"/>
      <c r="N181" s="39"/>
      <c r="O181" s="39"/>
      <c r="P181" s="39"/>
      <c r="Q181" s="39"/>
      <c r="R181" s="39"/>
      <c r="S181" s="39"/>
      <c r="T181" s="39"/>
      <c r="U181" s="39"/>
      <c r="V181" s="39"/>
      <c r="W181" s="39"/>
      <c r="X181" s="39"/>
      <c r="Y181" s="39"/>
      <c r="Z181" s="39"/>
    </row>
    <row r="182" spans="1:26" ht="16" x14ac:dyDescent="0.2">
      <c r="A182" s="34" t="s">
        <v>3</v>
      </c>
      <c r="B182" s="33" t="s">
        <v>204</v>
      </c>
      <c r="C182" s="33"/>
      <c r="D182" s="33"/>
      <c r="E182" s="33"/>
      <c r="F182" s="33"/>
      <c r="G182" s="33"/>
      <c r="H182" s="33"/>
      <c r="J182" s="28">
        <v>0</v>
      </c>
      <c r="K182" s="19"/>
      <c r="M182" s="39"/>
      <c r="N182" s="39"/>
      <c r="O182" s="39"/>
      <c r="P182" s="39"/>
      <c r="Q182" s="39"/>
      <c r="R182" s="39"/>
      <c r="S182" s="39"/>
      <c r="T182" s="39"/>
      <c r="U182" s="39"/>
      <c r="V182" s="39"/>
      <c r="W182" s="39"/>
      <c r="X182" s="39"/>
      <c r="Y182" s="39"/>
      <c r="Z182" s="39"/>
    </row>
    <row r="183" spans="1:26" s="27" customFormat="1" x14ac:dyDescent="0.2"/>
    <row r="184" spans="1:26" x14ac:dyDescent="0.2">
      <c r="A184" s="37" t="s">
        <v>2070</v>
      </c>
      <c r="B184" s="37"/>
      <c r="C184" s="37"/>
      <c r="D184" s="37"/>
      <c r="E184" s="37"/>
      <c r="F184" s="37"/>
      <c r="G184" s="37"/>
      <c r="H184" s="37"/>
      <c r="I184" s="36" t="s">
        <v>1858</v>
      </c>
      <c r="M184" s="43" t="s">
        <v>2201</v>
      </c>
      <c r="N184" s="39"/>
      <c r="O184" s="39"/>
      <c r="P184" s="39"/>
      <c r="Q184" s="39"/>
      <c r="R184" s="39"/>
      <c r="S184" s="39"/>
      <c r="T184" s="39"/>
      <c r="U184" s="39"/>
      <c r="V184" s="39"/>
      <c r="W184" s="39"/>
      <c r="X184" s="39"/>
      <c r="Y184" s="39"/>
      <c r="Z184" s="39"/>
    </row>
    <row r="185" spans="1:26" x14ac:dyDescent="0.2">
      <c r="A185" s="35" t="s">
        <v>2011</v>
      </c>
      <c r="B185" s="35"/>
      <c r="C185" s="35"/>
      <c r="D185" s="35"/>
      <c r="E185" s="35"/>
      <c r="F185" s="35"/>
      <c r="G185" s="35"/>
      <c r="H185" s="35"/>
      <c r="I185" s="35"/>
      <c r="M185" s="39"/>
      <c r="N185" s="39"/>
      <c r="O185" s="39"/>
      <c r="P185" s="39"/>
      <c r="Q185" s="39"/>
      <c r="R185" s="39"/>
      <c r="S185" s="39"/>
      <c r="T185" s="39"/>
      <c r="U185" s="39"/>
      <c r="V185" s="39"/>
      <c r="W185" s="39"/>
      <c r="X185" s="39"/>
      <c r="Y185" s="39"/>
      <c r="Z185" s="39"/>
    </row>
    <row r="186" spans="1:26" ht="96.5" customHeight="1" x14ac:dyDescent="0.2">
      <c r="A186" s="35"/>
      <c r="B186" s="35"/>
      <c r="C186" s="35"/>
      <c r="D186" s="35"/>
      <c r="E186" s="35"/>
      <c r="F186" s="35"/>
      <c r="G186" s="35"/>
      <c r="H186" s="35"/>
      <c r="I186" s="35"/>
      <c r="M186" s="39"/>
      <c r="N186" s="39"/>
      <c r="O186" s="39"/>
      <c r="P186" s="39"/>
      <c r="Q186" s="39"/>
      <c r="R186" s="39"/>
      <c r="S186" s="39"/>
      <c r="T186" s="39"/>
      <c r="U186" s="39"/>
      <c r="V186" s="39"/>
      <c r="W186" s="39"/>
      <c r="X186" s="39"/>
      <c r="Y186" s="39"/>
      <c r="Z186" s="39"/>
    </row>
    <row r="187" spans="1:26" x14ac:dyDescent="0.2">
      <c r="A187" s="35"/>
      <c r="B187" s="35"/>
      <c r="C187" s="35"/>
      <c r="D187" s="35"/>
      <c r="E187" s="35"/>
      <c r="F187" s="35"/>
      <c r="G187" s="35"/>
      <c r="H187" s="35"/>
      <c r="I187" s="35"/>
      <c r="M187" s="39"/>
      <c r="N187" s="39"/>
      <c r="O187" s="39"/>
      <c r="P187" s="39"/>
      <c r="Q187" s="39"/>
      <c r="R187" s="39"/>
      <c r="S187" s="39"/>
      <c r="T187" s="39"/>
      <c r="U187" s="39"/>
      <c r="V187" s="39"/>
      <c r="W187" s="39"/>
      <c r="X187" s="39"/>
      <c r="Y187" s="39"/>
      <c r="Z187" s="39"/>
    </row>
    <row r="188" spans="1:26" x14ac:dyDescent="0.2">
      <c r="A188" s="35"/>
      <c r="B188" s="35"/>
      <c r="C188" s="35"/>
      <c r="D188" s="35"/>
      <c r="E188" s="35"/>
      <c r="F188" s="35"/>
      <c r="G188" s="35"/>
      <c r="H188" s="35"/>
      <c r="I188" s="35"/>
      <c r="M188" s="39"/>
      <c r="N188" s="39"/>
      <c r="O188" s="39"/>
      <c r="P188" s="39"/>
      <c r="Q188" s="39"/>
      <c r="R188" s="39"/>
      <c r="S188" s="39"/>
      <c r="T188" s="39"/>
      <c r="U188" s="39"/>
      <c r="V188" s="39"/>
      <c r="W188" s="39"/>
      <c r="X188" s="39"/>
      <c r="Y188" s="39"/>
      <c r="Z188" s="39"/>
    </row>
    <row r="189" spans="1:26" ht="16" x14ac:dyDescent="0.2">
      <c r="A189" s="42" t="s">
        <v>0</v>
      </c>
      <c r="B189" s="41" t="s">
        <v>1217</v>
      </c>
      <c r="C189" s="41"/>
      <c r="D189" s="41"/>
      <c r="E189" s="41"/>
      <c r="F189" s="41"/>
      <c r="G189" s="41"/>
      <c r="H189" s="41"/>
      <c r="I189" s="40" t="s">
        <v>2154</v>
      </c>
      <c r="J189" s="28">
        <f>IF(ISNUMBER(SEARCH("x",I189)),1,0)</f>
        <v>1</v>
      </c>
      <c r="K189" s="19">
        <f>SUM(J189:J192)</f>
        <v>1</v>
      </c>
      <c r="M189" s="39"/>
      <c r="N189" s="39"/>
      <c r="O189" s="39"/>
      <c r="P189" s="39"/>
      <c r="Q189" s="39"/>
      <c r="R189" s="39"/>
      <c r="S189" s="39"/>
      <c r="T189" s="39"/>
      <c r="U189" s="39"/>
      <c r="V189" s="39"/>
      <c r="W189" s="39"/>
      <c r="X189" s="39"/>
      <c r="Y189" s="39"/>
      <c r="Z189" s="39"/>
    </row>
    <row r="190" spans="1:26" ht="16" x14ac:dyDescent="0.2">
      <c r="A190" s="34" t="s">
        <v>1</v>
      </c>
      <c r="B190" s="33" t="s">
        <v>2069</v>
      </c>
      <c r="C190" s="33"/>
      <c r="D190" s="33"/>
      <c r="E190" s="33"/>
      <c r="F190" s="33"/>
      <c r="G190" s="33"/>
      <c r="H190" s="33"/>
      <c r="J190" s="28">
        <v>0</v>
      </c>
      <c r="K190" s="19"/>
      <c r="M190" s="39"/>
      <c r="N190" s="39"/>
      <c r="O190" s="39"/>
      <c r="P190" s="39"/>
      <c r="Q190" s="39"/>
      <c r="R190" s="39"/>
      <c r="S190" s="39"/>
      <c r="T190" s="39"/>
      <c r="U190" s="39"/>
      <c r="V190" s="39"/>
      <c r="W190" s="39"/>
      <c r="X190" s="39"/>
      <c r="Y190" s="39"/>
      <c r="Z190" s="39"/>
    </row>
    <row r="191" spans="1:26" ht="16" x14ac:dyDescent="0.2">
      <c r="A191" s="34" t="s">
        <v>2</v>
      </c>
      <c r="B191" s="33" t="s">
        <v>2068</v>
      </c>
      <c r="C191" s="33"/>
      <c r="D191" s="33"/>
      <c r="E191" s="33"/>
      <c r="F191" s="33"/>
      <c r="G191" s="33"/>
      <c r="H191" s="33"/>
      <c r="J191" s="38">
        <v>0</v>
      </c>
      <c r="K191" s="19"/>
      <c r="M191" s="39"/>
      <c r="N191" s="39"/>
      <c r="O191" s="39"/>
      <c r="P191" s="39"/>
      <c r="Q191" s="39"/>
      <c r="R191" s="39"/>
      <c r="S191" s="39"/>
      <c r="T191" s="39"/>
      <c r="U191" s="39"/>
      <c r="V191" s="39"/>
      <c r="W191" s="39"/>
      <c r="X191" s="39"/>
      <c r="Y191" s="39"/>
      <c r="Z191" s="39"/>
    </row>
    <row r="192" spans="1:26" ht="16" x14ac:dyDescent="0.2">
      <c r="A192" s="34" t="s">
        <v>3</v>
      </c>
      <c r="B192" s="33" t="s">
        <v>1218</v>
      </c>
      <c r="C192" s="33"/>
      <c r="D192" s="33"/>
      <c r="E192" s="33"/>
      <c r="F192" s="33"/>
      <c r="G192" s="33"/>
      <c r="H192" s="33"/>
      <c r="J192" s="38">
        <v>0</v>
      </c>
      <c r="K192" s="19"/>
      <c r="M192" s="39"/>
      <c r="N192" s="39"/>
      <c r="O192" s="39"/>
      <c r="P192" s="39"/>
      <c r="Q192" s="39"/>
      <c r="R192" s="39"/>
      <c r="S192" s="39"/>
      <c r="T192" s="39"/>
      <c r="U192" s="39"/>
      <c r="V192" s="39"/>
      <c r="W192" s="39"/>
      <c r="X192" s="39"/>
      <c r="Y192" s="39"/>
      <c r="Z192" s="39"/>
    </row>
    <row r="193" spans="1:26" s="27" customFormat="1" x14ac:dyDescent="0.2"/>
    <row r="194" spans="1:26" x14ac:dyDescent="0.2">
      <c r="A194" s="37" t="s">
        <v>2067</v>
      </c>
      <c r="B194" s="37"/>
      <c r="C194" s="37"/>
      <c r="D194" s="37"/>
      <c r="E194" s="37"/>
      <c r="F194" s="37"/>
      <c r="G194" s="37"/>
      <c r="H194" s="37"/>
      <c r="I194" s="36" t="s">
        <v>1858</v>
      </c>
      <c r="M194" s="43" t="s">
        <v>2200</v>
      </c>
      <c r="N194" s="39"/>
      <c r="O194" s="39"/>
      <c r="P194" s="39"/>
      <c r="Q194" s="39"/>
      <c r="R194" s="39"/>
      <c r="S194" s="39"/>
      <c r="T194" s="39"/>
      <c r="U194" s="39"/>
      <c r="V194" s="39"/>
      <c r="W194" s="39"/>
      <c r="X194" s="39"/>
      <c r="Y194" s="39"/>
      <c r="Z194" s="39"/>
    </row>
    <row r="195" spans="1:26" x14ac:dyDescent="0.2">
      <c r="A195" s="35" t="s">
        <v>2066</v>
      </c>
      <c r="B195" s="35"/>
      <c r="C195" s="35"/>
      <c r="D195" s="35"/>
      <c r="E195" s="35"/>
      <c r="F195" s="35"/>
      <c r="G195" s="35"/>
      <c r="H195" s="35"/>
      <c r="I195" s="35"/>
      <c r="M195" s="39"/>
      <c r="N195" s="39"/>
      <c r="O195" s="39"/>
      <c r="P195" s="39"/>
      <c r="Q195" s="39"/>
      <c r="R195" s="39"/>
      <c r="S195" s="39"/>
      <c r="T195" s="39"/>
      <c r="U195" s="39"/>
      <c r="V195" s="39"/>
      <c r="W195" s="39"/>
      <c r="X195" s="39"/>
      <c r="Y195" s="39"/>
      <c r="Z195" s="39"/>
    </row>
    <row r="196" spans="1:26" x14ac:dyDescent="0.2">
      <c r="A196" s="35"/>
      <c r="B196" s="35"/>
      <c r="C196" s="35"/>
      <c r="D196" s="35"/>
      <c r="E196" s="35"/>
      <c r="F196" s="35"/>
      <c r="G196" s="35"/>
      <c r="H196" s="35"/>
      <c r="I196" s="35"/>
      <c r="M196" s="39"/>
      <c r="N196" s="39"/>
      <c r="O196" s="39"/>
      <c r="P196" s="39"/>
      <c r="Q196" s="39"/>
      <c r="R196" s="39"/>
      <c r="S196" s="39"/>
      <c r="T196" s="39"/>
      <c r="U196" s="39"/>
      <c r="V196" s="39"/>
      <c r="W196" s="39"/>
      <c r="X196" s="39"/>
      <c r="Y196" s="39"/>
      <c r="Z196" s="39"/>
    </row>
    <row r="197" spans="1:26" x14ac:dyDescent="0.2">
      <c r="A197" s="35"/>
      <c r="B197" s="35"/>
      <c r="C197" s="35"/>
      <c r="D197" s="35"/>
      <c r="E197" s="35"/>
      <c r="F197" s="35"/>
      <c r="G197" s="35"/>
      <c r="H197" s="35"/>
      <c r="I197" s="35"/>
      <c r="M197" s="39"/>
      <c r="N197" s="39"/>
      <c r="O197" s="39"/>
      <c r="P197" s="39"/>
      <c r="Q197" s="39"/>
      <c r="R197" s="39"/>
      <c r="S197" s="39"/>
      <c r="T197" s="39"/>
      <c r="U197" s="39"/>
      <c r="V197" s="39"/>
      <c r="W197" s="39"/>
      <c r="X197" s="39"/>
      <c r="Y197" s="39"/>
      <c r="Z197" s="39"/>
    </row>
    <row r="198" spans="1:26" ht="67.25" customHeight="1" x14ac:dyDescent="0.2">
      <c r="A198" s="35"/>
      <c r="B198" s="35"/>
      <c r="C198" s="35"/>
      <c r="D198" s="35"/>
      <c r="E198" s="35"/>
      <c r="F198" s="35"/>
      <c r="G198" s="35"/>
      <c r="H198" s="35"/>
      <c r="I198" s="35"/>
      <c r="M198" s="39"/>
      <c r="N198" s="39"/>
      <c r="O198" s="39"/>
      <c r="P198" s="39"/>
      <c r="Q198" s="39"/>
      <c r="R198" s="39"/>
      <c r="S198" s="39"/>
      <c r="T198" s="39"/>
      <c r="U198" s="39"/>
      <c r="V198" s="39"/>
      <c r="W198" s="39"/>
      <c r="X198" s="39"/>
      <c r="Y198" s="39"/>
      <c r="Z198" s="39"/>
    </row>
    <row r="199" spans="1:26" ht="16" x14ac:dyDescent="0.2">
      <c r="A199" s="34" t="s">
        <v>0</v>
      </c>
      <c r="B199" s="33" t="s">
        <v>2065</v>
      </c>
      <c r="C199" s="33"/>
      <c r="D199" s="33"/>
      <c r="E199" s="33"/>
      <c r="F199" s="33"/>
      <c r="G199" s="33"/>
      <c r="H199" s="33"/>
      <c r="J199" s="28">
        <v>0</v>
      </c>
      <c r="K199" s="19">
        <f>SUM(J199:J202)</f>
        <v>1</v>
      </c>
      <c r="M199" s="39"/>
      <c r="N199" s="39"/>
      <c r="O199" s="39"/>
      <c r="P199" s="39"/>
      <c r="Q199" s="39"/>
      <c r="R199" s="39"/>
      <c r="S199" s="39"/>
      <c r="T199" s="39"/>
      <c r="U199" s="39"/>
      <c r="V199" s="39"/>
      <c r="W199" s="39"/>
      <c r="X199" s="39"/>
      <c r="Y199" s="39"/>
      <c r="Z199" s="39"/>
    </row>
    <row r="200" spans="1:26" ht="16" x14ac:dyDescent="0.2">
      <c r="A200" s="34" t="s">
        <v>1</v>
      </c>
      <c r="B200" s="33" t="s">
        <v>2064</v>
      </c>
      <c r="C200" s="33"/>
      <c r="D200" s="33"/>
      <c r="E200" s="33"/>
      <c r="F200" s="33"/>
      <c r="G200" s="33"/>
      <c r="H200" s="33"/>
      <c r="J200" s="28">
        <v>0</v>
      </c>
      <c r="K200" s="19"/>
      <c r="M200" s="39"/>
      <c r="N200" s="39"/>
      <c r="O200" s="39"/>
      <c r="P200" s="39"/>
      <c r="Q200" s="39"/>
      <c r="R200" s="39"/>
      <c r="S200" s="39"/>
      <c r="T200" s="39"/>
      <c r="U200" s="39"/>
      <c r="V200" s="39"/>
      <c r="W200" s="39"/>
      <c r="X200" s="39"/>
      <c r="Y200" s="39"/>
      <c r="Z200" s="39"/>
    </row>
    <row r="201" spans="1:26" ht="16" x14ac:dyDescent="0.2">
      <c r="A201" s="34" t="s">
        <v>2</v>
      </c>
      <c r="B201" s="33" t="s">
        <v>2063</v>
      </c>
      <c r="C201" s="33"/>
      <c r="D201" s="33"/>
      <c r="E201" s="33"/>
      <c r="F201" s="33"/>
      <c r="G201" s="33"/>
      <c r="H201" s="33"/>
      <c r="J201" s="28">
        <v>0</v>
      </c>
      <c r="K201" s="19"/>
      <c r="M201" s="39"/>
      <c r="N201" s="39"/>
      <c r="O201" s="39"/>
      <c r="P201" s="39"/>
      <c r="Q201" s="39"/>
      <c r="R201" s="39"/>
      <c r="S201" s="39"/>
      <c r="T201" s="39"/>
      <c r="U201" s="39"/>
      <c r="V201" s="39"/>
      <c r="W201" s="39"/>
      <c r="X201" s="39"/>
      <c r="Y201" s="39"/>
      <c r="Z201" s="39"/>
    </row>
    <row r="202" spans="1:26" ht="16" x14ac:dyDescent="0.2">
      <c r="A202" s="42" t="s">
        <v>3</v>
      </c>
      <c r="B202" s="41" t="s">
        <v>2062</v>
      </c>
      <c r="C202" s="41"/>
      <c r="D202" s="41"/>
      <c r="E202" s="41"/>
      <c r="F202" s="41"/>
      <c r="G202" s="41"/>
      <c r="H202" s="41"/>
      <c r="I202" s="40" t="s">
        <v>2154</v>
      </c>
      <c r="J202" s="28">
        <f>IF(ISNUMBER(SEARCH("x",I202)),1,0)</f>
        <v>1</v>
      </c>
      <c r="K202" s="19"/>
      <c r="M202" s="39"/>
      <c r="N202" s="39"/>
      <c r="O202" s="39"/>
      <c r="P202" s="39"/>
      <c r="Q202" s="39"/>
      <c r="R202" s="39"/>
      <c r="S202" s="39"/>
      <c r="T202" s="39"/>
      <c r="U202" s="39"/>
      <c r="V202" s="39"/>
      <c r="W202" s="39"/>
      <c r="X202" s="39"/>
      <c r="Y202" s="39"/>
      <c r="Z202" s="39"/>
    </row>
    <row r="203" spans="1:26" s="27" customFormat="1" x14ac:dyDescent="0.2"/>
    <row r="204" spans="1:26" x14ac:dyDescent="0.2">
      <c r="A204" s="37" t="s">
        <v>2061</v>
      </c>
      <c r="B204" s="37"/>
      <c r="C204" s="37"/>
      <c r="D204" s="37"/>
      <c r="E204" s="37"/>
      <c r="F204" s="37"/>
      <c r="G204" s="37"/>
      <c r="H204" s="37"/>
      <c r="I204" s="36" t="s">
        <v>1858</v>
      </c>
      <c r="M204" s="43" t="s">
        <v>2199</v>
      </c>
      <c r="N204" s="39"/>
      <c r="O204" s="39"/>
      <c r="P204" s="39"/>
      <c r="Q204" s="39"/>
      <c r="R204" s="39"/>
      <c r="S204" s="39"/>
      <c r="T204" s="39"/>
      <c r="U204" s="39"/>
      <c r="V204" s="39"/>
      <c r="W204" s="39"/>
      <c r="X204" s="39"/>
      <c r="Y204" s="39"/>
      <c r="Z204" s="39"/>
    </row>
    <row r="205" spans="1:26" x14ac:dyDescent="0.2">
      <c r="A205" s="35" t="s">
        <v>2060</v>
      </c>
      <c r="B205" s="35"/>
      <c r="C205" s="35"/>
      <c r="D205" s="35"/>
      <c r="E205" s="35"/>
      <c r="F205" s="35"/>
      <c r="G205" s="35"/>
      <c r="H205" s="35"/>
      <c r="I205" s="35"/>
      <c r="M205" s="39"/>
      <c r="N205" s="39"/>
      <c r="O205" s="39"/>
      <c r="P205" s="39"/>
      <c r="Q205" s="39"/>
      <c r="R205" s="39"/>
      <c r="S205" s="39"/>
      <c r="T205" s="39"/>
      <c r="U205" s="39"/>
      <c r="V205" s="39"/>
      <c r="W205" s="39"/>
      <c r="X205" s="39"/>
      <c r="Y205" s="39"/>
      <c r="Z205" s="39"/>
    </row>
    <row r="206" spans="1:26" x14ac:dyDescent="0.2">
      <c r="A206" s="35"/>
      <c r="B206" s="35"/>
      <c r="C206" s="35"/>
      <c r="D206" s="35"/>
      <c r="E206" s="35"/>
      <c r="F206" s="35"/>
      <c r="G206" s="35"/>
      <c r="H206" s="35"/>
      <c r="I206" s="35"/>
      <c r="M206" s="39"/>
      <c r="N206" s="39"/>
      <c r="O206" s="39"/>
      <c r="P206" s="39"/>
      <c r="Q206" s="39"/>
      <c r="R206" s="39"/>
      <c r="S206" s="39"/>
      <c r="T206" s="39"/>
      <c r="U206" s="39"/>
      <c r="V206" s="39"/>
      <c r="W206" s="39"/>
      <c r="X206" s="39"/>
      <c r="Y206" s="39"/>
      <c r="Z206" s="39"/>
    </row>
    <row r="207" spans="1:26" x14ac:dyDescent="0.2">
      <c r="A207" s="35"/>
      <c r="B207" s="35"/>
      <c r="C207" s="35"/>
      <c r="D207" s="35"/>
      <c r="E207" s="35"/>
      <c r="F207" s="35"/>
      <c r="G207" s="35"/>
      <c r="H207" s="35"/>
      <c r="I207" s="35"/>
      <c r="M207" s="39"/>
      <c r="N207" s="39"/>
      <c r="O207" s="39"/>
      <c r="P207" s="39"/>
      <c r="Q207" s="39"/>
      <c r="R207" s="39"/>
      <c r="S207" s="39"/>
      <c r="T207" s="39"/>
      <c r="U207" s="39"/>
      <c r="V207" s="39"/>
      <c r="W207" s="39"/>
      <c r="X207" s="39"/>
      <c r="Y207" s="39"/>
      <c r="Z207" s="39"/>
    </row>
    <row r="208" spans="1:26" ht="20.5" customHeight="1" x14ac:dyDescent="0.2">
      <c r="A208" s="35"/>
      <c r="B208" s="35"/>
      <c r="C208" s="35"/>
      <c r="D208" s="35"/>
      <c r="E208" s="35"/>
      <c r="F208" s="35"/>
      <c r="G208" s="35"/>
      <c r="H208" s="35"/>
      <c r="I208" s="35"/>
      <c r="M208" s="39"/>
      <c r="N208" s="39"/>
      <c r="O208" s="39"/>
      <c r="P208" s="39"/>
      <c r="Q208" s="39"/>
      <c r="R208" s="39"/>
      <c r="S208" s="39"/>
      <c r="T208" s="39"/>
      <c r="U208" s="39"/>
      <c r="V208" s="39"/>
      <c r="W208" s="39"/>
      <c r="X208" s="39"/>
      <c r="Y208" s="39"/>
      <c r="Z208" s="39"/>
    </row>
    <row r="209" spans="1:26" ht="16" x14ac:dyDescent="0.2">
      <c r="A209" s="34" t="s">
        <v>0</v>
      </c>
      <c r="B209" s="33" t="s">
        <v>1218</v>
      </c>
      <c r="C209" s="33"/>
      <c r="D209" s="33"/>
      <c r="E209" s="33"/>
      <c r="F209" s="33"/>
      <c r="G209" s="33"/>
      <c r="H209" s="33"/>
      <c r="J209" s="28">
        <v>0</v>
      </c>
      <c r="K209" s="19">
        <f>SUM(J209:J212)</f>
        <v>1</v>
      </c>
      <c r="M209" s="39"/>
      <c r="N209" s="39"/>
      <c r="O209" s="39"/>
      <c r="P209" s="39"/>
      <c r="Q209" s="39"/>
      <c r="R209" s="39"/>
      <c r="S209" s="39"/>
      <c r="T209" s="39"/>
      <c r="U209" s="39"/>
      <c r="V209" s="39"/>
      <c r="W209" s="39"/>
      <c r="X209" s="39"/>
      <c r="Y209" s="39"/>
      <c r="Z209" s="39"/>
    </row>
    <row r="210" spans="1:26" ht="16" x14ac:dyDescent="0.2">
      <c r="A210" s="42" t="s">
        <v>1</v>
      </c>
      <c r="B210" s="41" t="s">
        <v>1093</v>
      </c>
      <c r="C210" s="41"/>
      <c r="D210" s="41"/>
      <c r="E210" s="41"/>
      <c r="F210" s="41"/>
      <c r="G210" s="41"/>
      <c r="H210" s="41"/>
      <c r="I210" s="40" t="s">
        <v>2154</v>
      </c>
      <c r="J210" s="28">
        <f>IF(ISNUMBER(SEARCH("x",I210)),1,0)</f>
        <v>1</v>
      </c>
      <c r="K210" s="19"/>
      <c r="M210" s="39"/>
      <c r="N210" s="39"/>
      <c r="O210" s="39"/>
      <c r="P210" s="39"/>
      <c r="Q210" s="39"/>
      <c r="R210" s="39"/>
      <c r="S210" s="39"/>
      <c r="T210" s="39"/>
      <c r="U210" s="39"/>
      <c r="V210" s="39"/>
      <c r="W210" s="39"/>
      <c r="X210" s="39"/>
      <c r="Y210" s="39"/>
      <c r="Z210" s="39"/>
    </row>
    <row r="211" spans="1:26" ht="16" x14ac:dyDescent="0.2">
      <c r="A211" s="34" t="s">
        <v>2</v>
      </c>
      <c r="B211" s="33" t="s">
        <v>1750</v>
      </c>
      <c r="C211" s="33"/>
      <c r="D211" s="33"/>
      <c r="E211" s="33"/>
      <c r="F211" s="33"/>
      <c r="G211" s="33"/>
      <c r="H211" s="33"/>
      <c r="J211" s="38">
        <v>0</v>
      </c>
      <c r="K211" s="19"/>
      <c r="M211" s="39"/>
      <c r="N211" s="39"/>
      <c r="O211" s="39"/>
      <c r="P211" s="39"/>
      <c r="Q211" s="39"/>
      <c r="R211" s="39"/>
      <c r="S211" s="39"/>
      <c r="T211" s="39"/>
      <c r="U211" s="39"/>
      <c r="V211" s="39"/>
      <c r="W211" s="39"/>
      <c r="X211" s="39"/>
      <c r="Y211" s="39"/>
      <c r="Z211" s="39"/>
    </row>
    <row r="212" spans="1:26" ht="16" x14ac:dyDescent="0.2">
      <c r="A212" s="34" t="s">
        <v>3</v>
      </c>
      <c r="B212" s="33" t="s">
        <v>2059</v>
      </c>
      <c r="C212" s="33"/>
      <c r="D212" s="33"/>
      <c r="E212" s="33"/>
      <c r="F212" s="33"/>
      <c r="G212" s="33"/>
      <c r="H212" s="33"/>
      <c r="J212" s="28">
        <v>0</v>
      </c>
      <c r="K212" s="19"/>
      <c r="M212" s="39"/>
      <c r="N212" s="39"/>
      <c r="O212" s="39"/>
      <c r="P212" s="39"/>
      <c r="Q212" s="39"/>
      <c r="R212" s="39"/>
      <c r="S212" s="39"/>
      <c r="T212" s="39"/>
      <c r="U212" s="39"/>
      <c r="V212" s="39"/>
      <c r="W212" s="39"/>
      <c r="X212" s="39"/>
      <c r="Y212" s="39"/>
      <c r="Z212" s="39"/>
    </row>
    <row r="213" spans="1:26" s="27" customFormat="1" x14ac:dyDescent="0.2"/>
    <row r="214" spans="1:26" x14ac:dyDescent="0.2">
      <c r="A214" s="37" t="s">
        <v>2058</v>
      </c>
      <c r="B214" s="37"/>
      <c r="C214" s="37"/>
      <c r="D214" s="37"/>
      <c r="E214" s="37"/>
      <c r="F214" s="37"/>
      <c r="G214" s="37"/>
      <c r="H214" s="37"/>
      <c r="I214" s="36" t="s">
        <v>1858</v>
      </c>
      <c r="M214" s="43" t="s">
        <v>2198</v>
      </c>
      <c r="N214" s="43"/>
      <c r="O214" s="43"/>
      <c r="P214" s="43"/>
      <c r="Q214" s="43"/>
      <c r="R214" s="43"/>
      <c r="S214" s="43"/>
      <c r="T214" s="43"/>
      <c r="U214" s="43"/>
      <c r="V214" s="43"/>
      <c r="W214" s="43"/>
      <c r="X214" s="43"/>
      <c r="Y214" s="43"/>
      <c r="Z214" s="43"/>
    </row>
    <row r="215" spans="1:26" x14ac:dyDescent="0.2">
      <c r="A215" s="35" t="s">
        <v>2057</v>
      </c>
      <c r="B215" s="35"/>
      <c r="C215" s="35"/>
      <c r="D215" s="35"/>
      <c r="E215" s="35"/>
      <c r="F215" s="35"/>
      <c r="G215" s="35"/>
      <c r="H215" s="35"/>
      <c r="I215" s="35"/>
      <c r="M215" s="43"/>
      <c r="N215" s="43"/>
      <c r="O215" s="43"/>
      <c r="P215" s="43"/>
      <c r="Q215" s="43"/>
      <c r="R215" s="43"/>
      <c r="S215" s="43"/>
      <c r="T215" s="43"/>
      <c r="U215" s="43"/>
      <c r="V215" s="43"/>
      <c r="W215" s="43"/>
      <c r="X215" s="43"/>
      <c r="Y215" s="43"/>
      <c r="Z215" s="43"/>
    </row>
    <row r="216" spans="1:26" x14ac:dyDescent="0.2">
      <c r="A216" s="35"/>
      <c r="B216" s="35"/>
      <c r="C216" s="35"/>
      <c r="D216" s="35"/>
      <c r="E216" s="35"/>
      <c r="F216" s="35"/>
      <c r="G216" s="35"/>
      <c r="H216" s="35"/>
      <c r="I216" s="35"/>
      <c r="M216" s="43"/>
      <c r="N216" s="43"/>
      <c r="O216" s="43"/>
      <c r="P216" s="43"/>
      <c r="Q216" s="43"/>
      <c r="R216" s="43"/>
      <c r="S216" s="43"/>
      <c r="T216" s="43"/>
      <c r="U216" s="43"/>
      <c r="V216" s="43"/>
      <c r="W216" s="43"/>
      <c r="X216" s="43"/>
      <c r="Y216" s="43"/>
      <c r="Z216" s="43"/>
    </row>
    <row r="217" spans="1:26" x14ac:dyDescent="0.2">
      <c r="A217" s="35"/>
      <c r="B217" s="35"/>
      <c r="C217" s="35"/>
      <c r="D217" s="35"/>
      <c r="E217" s="35"/>
      <c r="F217" s="35"/>
      <c r="G217" s="35"/>
      <c r="H217" s="35"/>
      <c r="I217" s="35"/>
      <c r="M217" s="43"/>
      <c r="N217" s="43"/>
      <c r="O217" s="43"/>
      <c r="P217" s="43"/>
      <c r="Q217" s="43"/>
      <c r="R217" s="43"/>
      <c r="S217" s="43"/>
      <c r="T217" s="43"/>
      <c r="U217" s="43"/>
      <c r="V217" s="43"/>
      <c r="W217" s="43"/>
      <c r="X217" s="43"/>
      <c r="Y217" s="43"/>
      <c r="Z217" s="43"/>
    </row>
    <row r="218" spans="1:26" ht="102" customHeight="1" x14ac:dyDescent="0.2">
      <c r="A218" s="35"/>
      <c r="B218" s="35"/>
      <c r="C218" s="35"/>
      <c r="D218" s="35"/>
      <c r="E218" s="35"/>
      <c r="F218" s="35"/>
      <c r="G218" s="35"/>
      <c r="H218" s="35"/>
      <c r="I218" s="35"/>
      <c r="M218" s="43"/>
      <c r="N218" s="43"/>
      <c r="O218" s="43"/>
      <c r="P218" s="43"/>
      <c r="Q218" s="43"/>
      <c r="R218" s="43"/>
      <c r="S218" s="43"/>
      <c r="T218" s="43"/>
      <c r="U218" s="43"/>
      <c r="V218" s="43"/>
      <c r="W218" s="43"/>
      <c r="X218" s="43"/>
      <c r="Y218" s="43"/>
      <c r="Z218" s="43"/>
    </row>
    <row r="219" spans="1:26" ht="16" x14ac:dyDescent="0.2">
      <c r="A219" s="34" t="s">
        <v>0</v>
      </c>
      <c r="B219" s="33" t="s">
        <v>2056</v>
      </c>
      <c r="C219" s="33"/>
      <c r="D219" s="33"/>
      <c r="E219" s="33"/>
      <c r="F219" s="33"/>
      <c r="G219" s="33"/>
      <c r="H219" s="33"/>
      <c r="J219" s="28">
        <f>IF(ISNUMBER(SEARCH("x",I219)),-0.5,0)</f>
        <v>0</v>
      </c>
      <c r="K219" s="19">
        <f>MAX(SUM(J219:J223),0)</f>
        <v>1</v>
      </c>
      <c r="M219" s="43"/>
      <c r="N219" s="43"/>
      <c r="O219" s="43"/>
      <c r="P219" s="43"/>
      <c r="Q219" s="43"/>
      <c r="R219" s="43"/>
      <c r="S219" s="43"/>
      <c r="T219" s="43"/>
      <c r="U219" s="43"/>
      <c r="V219" s="43"/>
      <c r="W219" s="43"/>
      <c r="X219" s="43"/>
      <c r="Y219" s="43"/>
      <c r="Z219" s="43"/>
    </row>
    <row r="220" spans="1:26" ht="16" x14ac:dyDescent="0.2">
      <c r="A220" s="34" t="s">
        <v>1</v>
      </c>
      <c r="B220" s="33" t="s">
        <v>4</v>
      </c>
      <c r="C220" s="33"/>
      <c r="D220" s="33"/>
      <c r="E220" s="33"/>
      <c r="F220" s="33"/>
      <c r="G220" s="33"/>
      <c r="H220" s="33"/>
      <c r="J220" s="28">
        <f>IF(ISNUMBER(SEARCH("x",I220)),-0.5,0)</f>
        <v>0</v>
      </c>
      <c r="K220" s="19"/>
      <c r="M220" s="43"/>
      <c r="N220" s="43"/>
      <c r="O220" s="43"/>
      <c r="P220" s="43"/>
      <c r="Q220" s="43"/>
      <c r="R220" s="43"/>
      <c r="S220" s="43"/>
      <c r="T220" s="43"/>
      <c r="U220" s="43"/>
      <c r="V220" s="43"/>
      <c r="W220" s="43"/>
      <c r="X220" s="43"/>
      <c r="Y220" s="43"/>
      <c r="Z220" s="43"/>
    </row>
    <row r="221" spans="1:26" ht="16" x14ac:dyDescent="0.2">
      <c r="A221" s="42" t="s">
        <v>2</v>
      </c>
      <c r="B221" s="41" t="s">
        <v>760</v>
      </c>
      <c r="C221" s="41"/>
      <c r="D221" s="41"/>
      <c r="E221" s="41"/>
      <c r="F221" s="41"/>
      <c r="G221" s="41"/>
      <c r="H221" s="41"/>
      <c r="I221" s="40" t="s">
        <v>2154</v>
      </c>
      <c r="J221" s="28">
        <f>IF(ISNUMBER(SEARCH("x",I221)),0.5,0)</f>
        <v>0.5</v>
      </c>
      <c r="K221" s="19"/>
      <c r="M221" s="43"/>
      <c r="N221" s="43"/>
      <c r="O221" s="43"/>
      <c r="P221" s="43"/>
      <c r="Q221" s="43"/>
      <c r="R221" s="43"/>
      <c r="S221" s="43"/>
      <c r="T221" s="43"/>
      <c r="U221" s="43"/>
      <c r="V221" s="43"/>
      <c r="W221" s="43"/>
      <c r="X221" s="43"/>
      <c r="Y221" s="43"/>
      <c r="Z221" s="43"/>
    </row>
    <row r="222" spans="1:26" ht="16" x14ac:dyDescent="0.2">
      <c r="A222" s="34" t="s">
        <v>3</v>
      </c>
      <c r="B222" s="33" t="s">
        <v>808</v>
      </c>
      <c r="C222" s="33"/>
      <c r="D222" s="33"/>
      <c r="E222" s="33"/>
      <c r="F222" s="33"/>
      <c r="G222" s="33"/>
      <c r="H222" s="33"/>
      <c r="J222" s="28">
        <f>IF(ISNUMBER(SEARCH("x",I222)),-0.5,0)</f>
        <v>0</v>
      </c>
      <c r="K222" s="19"/>
      <c r="M222" s="43"/>
      <c r="N222" s="43"/>
      <c r="O222" s="43"/>
      <c r="P222" s="43"/>
      <c r="Q222" s="43"/>
      <c r="R222" s="43"/>
      <c r="S222" s="43"/>
      <c r="T222" s="43"/>
      <c r="U222" s="43"/>
      <c r="V222" s="43"/>
      <c r="W222" s="43"/>
      <c r="X222" s="43"/>
      <c r="Y222" s="43"/>
      <c r="Z222" s="43"/>
    </row>
    <row r="223" spans="1:26" ht="16" x14ac:dyDescent="0.2">
      <c r="A223" s="42" t="s">
        <v>6</v>
      </c>
      <c r="B223" s="41" t="s">
        <v>1388</v>
      </c>
      <c r="C223" s="41"/>
      <c r="D223" s="41"/>
      <c r="E223" s="41"/>
      <c r="F223" s="41"/>
      <c r="G223" s="41"/>
      <c r="H223" s="41"/>
      <c r="I223" s="40" t="s">
        <v>2154</v>
      </c>
      <c r="J223" s="28">
        <f>IF(ISNUMBER(SEARCH("x",I223)),0.5,0)</f>
        <v>0.5</v>
      </c>
      <c r="K223" s="19"/>
      <c r="M223" s="43"/>
      <c r="N223" s="43"/>
      <c r="O223" s="43"/>
      <c r="P223" s="43"/>
      <c r="Q223" s="43"/>
      <c r="R223" s="43"/>
      <c r="S223" s="43"/>
      <c r="T223" s="43"/>
      <c r="U223" s="43"/>
      <c r="V223" s="43"/>
      <c r="W223" s="43"/>
      <c r="X223" s="43"/>
      <c r="Y223" s="43"/>
      <c r="Z223" s="43"/>
    </row>
    <row r="224" spans="1:26" s="27" customFormat="1" x14ac:dyDescent="0.2"/>
    <row r="225" spans="1:26" x14ac:dyDescent="0.2">
      <c r="A225" s="37" t="s">
        <v>2055</v>
      </c>
      <c r="B225" s="37"/>
      <c r="C225" s="37"/>
      <c r="D225" s="37"/>
      <c r="E225" s="37"/>
      <c r="F225" s="37"/>
      <c r="G225" s="37"/>
      <c r="H225" s="37"/>
      <c r="I225" s="36" t="s">
        <v>1858</v>
      </c>
      <c r="M225" s="43" t="s">
        <v>2197</v>
      </c>
      <c r="N225" s="43"/>
      <c r="O225" s="43"/>
      <c r="P225" s="43"/>
      <c r="Q225" s="43"/>
      <c r="R225" s="43"/>
      <c r="S225" s="43"/>
      <c r="T225" s="43"/>
      <c r="U225" s="43"/>
      <c r="V225" s="43"/>
      <c r="W225" s="43"/>
      <c r="X225" s="43"/>
      <c r="Y225" s="43"/>
      <c r="Z225" s="43"/>
    </row>
    <row r="226" spans="1:26" x14ac:dyDescent="0.2">
      <c r="A226" s="35" t="s">
        <v>2054</v>
      </c>
      <c r="B226" s="35"/>
      <c r="C226" s="35"/>
      <c r="D226" s="35"/>
      <c r="E226" s="35"/>
      <c r="F226" s="35"/>
      <c r="G226" s="35"/>
      <c r="H226" s="35"/>
      <c r="I226" s="35"/>
      <c r="M226" s="43"/>
      <c r="N226" s="43"/>
      <c r="O226" s="43"/>
      <c r="P226" s="43"/>
      <c r="Q226" s="43"/>
      <c r="R226" s="43"/>
      <c r="S226" s="43"/>
      <c r="T226" s="43"/>
      <c r="U226" s="43"/>
      <c r="V226" s="43"/>
      <c r="W226" s="43"/>
      <c r="X226" s="43"/>
      <c r="Y226" s="43"/>
      <c r="Z226" s="43"/>
    </row>
    <row r="227" spans="1:26" x14ac:dyDescent="0.2">
      <c r="A227" s="35"/>
      <c r="B227" s="35"/>
      <c r="C227" s="35"/>
      <c r="D227" s="35"/>
      <c r="E227" s="35"/>
      <c r="F227" s="35"/>
      <c r="G227" s="35"/>
      <c r="H227" s="35"/>
      <c r="I227" s="35"/>
      <c r="M227" s="43"/>
      <c r="N227" s="43"/>
      <c r="O227" s="43"/>
      <c r="P227" s="43"/>
      <c r="Q227" s="43"/>
      <c r="R227" s="43"/>
      <c r="S227" s="43"/>
      <c r="T227" s="43"/>
      <c r="U227" s="43"/>
      <c r="V227" s="43"/>
      <c r="W227" s="43"/>
      <c r="X227" s="43"/>
      <c r="Y227" s="43"/>
      <c r="Z227" s="43"/>
    </row>
    <row r="228" spans="1:26" x14ac:dyDescent="0.2">
      <c r="A228" s="35"/>
      <c r="B228" s="35"/>
      <c r="C228" s="35"/>
      <c r="D228" s="35"/>
      <c r="E228" s="35"/>
      <c r="F228" s="35"/>
      <c r="G228" s="35"/>
      <c r="H228" s="35"/>
      <c r="I228" s="35"/>
      <c r="M228" s="43"/>
      <c r="N228" s="43"/>
      <c r="O228" s="43"/>
      <c r="P228" s="43"/>
      <c r="Q228" s="43"/>
      <c r="R228" s="43"/>
      <c r="S228" s="43"/>
      <c r="T228" s="43"/>
      <c r="U228" s="43"/>
      <c r="V228" s="43"/>
      <c r="W228" s="43"/>
      <c r="X228" s="43"/>
      <c r="Y228" s="43"/>
      <c r="Z228" s="43"/>
    </row>
    <row r="229" spans="1:26" ht="165" customHeight="1" x14ac:dyDescent="0.2">
      <c r="A229" s="35"/>
      <c r="B229" s="35"/>
      <c r="C229" s="35"/>
      <c r="D229" s="35"/>
      <c r="E229" s="35"/>
      <c r="F229" s="35"/>
      <c r="G229" s="35"/>
      <c r="H229" s="35"/>
      <c r="I229" s="35"/>
      <c r="M229" s="43"/>
      <c r="N229" s="43"/>
      <c r="O229" s="43"/>
      <c r="P229" s="43"/>
      <c r="Q229" s="43"/>
      <c r="R229" s="43"/>
      <c r="S229" s="43"/>
      <c r="T229" s="43"/>
      <c r="U229" s="43"/>
      <c r="V229" s="43"/>
      <c r="W229" s="43"/>
      <c r="X229" s="43"/>
      <c r="Y229" s="43"/>
      <c r="Z229" s="43"/>
    </row>
    <row r="230" spans="1:26" ht="16" x14ac:dyDescent="0.2">
      <c r="A230" s="42" t="s">
        <v>0</v>
      </c>
      <c r="B230" s="41" t="s">
        <v>2053</v>
      </c>
      <c r="C230" s="41"/>
      <c r="D230" s="41"/>
      <c r="E230" s="41"/>
      <c r="F230" s="41"/>
      <c r="G230" s="41"/>
      <c r="H230" s="41"/>
      <c r="I230" s="40" t="s">
        <v>2154</v>
      </c>
      <c r="J230" s="28">
        <f>IF(ISNUMBER(SEARCH("x",I230)),0.5,0)</f>
        <v>0.5</v>
      </c>
      <c r="K230" s="19">
        <f>MAX(SUM(J230:J234),0)</f>
        <v>1</v>
      </c>
      <c r="M230" s="43"/>
      <c r="N230" s="43"/>
      <c r="O230" s="43"/>
      <c r="P230" s="43"/>
      <c r="Q230" s="43"/>
      <c r="R230" s="43"/>
      <c r="S230" s="43"/>
      <c r="T230" s="43"/>
      <c r="U230" s="43"/>
      <c r="V230" s="43"/>
      <c r="W230" s="43"/>
      <c r="X230" s="43"/>
      <c r="Y230" s="43"/>
      <c r="Z230" s="43"/>
    </row>
    <row r="231" spans="1:26" ht="16" x14ac:dyDescent="0.2">
      <c r="A231" s="42" t="s">
        <v>1</v>
      </c>
      <c r="B231" s="41" t="s">
        <v>2052</v>
      </c>
      <c r="C231" s="41"/>
      <c r="D231" s="41"/>
      <c r="E231" s="41"/>
      <c r="F231" s="41"/>
      <c r="G231" s="41"/>
      <c r="H231" s="41"/>
      <c r="I231" s="40" t="s">
        <v>2154</v>
      </c>
      <c r="J231" s="28">
        <f>IF(ISNUMBER(SEARCH("x",I231)),0.5,0)</f>
        <v>0.5</v>
      </c>
      <c r="K231" s="19"/>
      <c r="M231" s="43"/>
      <c r="N231" s="43"/>
      <c r="O231" s="43"/>
      <c r="P231" s="43"/>
      <c r="Q231" s="43"/>
      <c r="R231" s="43"/>
      <c r="S231" s="43"/>
      <c r="T231" s="43"/>
      <c r="U231" s="43"/>
      <c r="V231" s="43"/>
      <c r="W231" s="43"/>
      <c r="X231" s="43"/>
      <c r="Y231" s="43"/>
      <c r="Z231" s="43"/>
    </row>
    <row r="232" spans="1:26" ht="16" x14ac:dyDescent="0.2">
      <c r="A232" s="34" t="s">
        <v>2</v>
      </c>
      <c r="B232" s="33" t="s">
        <v>2051</v>
      </c>
      <c r="C232" s="33"/>
      <c r="D232" s="33"/>
      <c r="E232" s="33"/>
      <c r="F232" s="33"/>
      <c r="G232" s="33"/>
      <c r="H232" s="33"/>
      <c r="J232" s="28">
        <f>IF(ISNUMBER(SEARCH("x",I232)),-0.5,0)</f>
        <v>0</v>
      </c>
      <c r="K232" s="19"/>
      <c r="M232" s="43"/>
      <c r="N232" s="43"/>
      <c r="O232" s="43"/>
      <c r="P232" s="43"/>
      <c r="Q232" s="43"/>
      <c r="R232" s="43"/>
      <c r="S232" s="43"/>
      <c r="T232" s="43"/>
      <c r="U232" s="43"/>
      <c r="V232" s="43"/>
      <c r="W232" s="43"/>
      <c r="X232" s="43"/>
      <c r="Y232" s="43"/>
      <c r="Z232" s="43"/>
    </row>
    <row r="233" spans="1:26" ht="16" x14ac:dyDescent="0.2">
      <c r="A233" s="34" t="s">
        <v>3</v>
      </c>
      <c r="B233" s="33" t="s">
        <v>2050</v>
      </c>
      <c r="C233" s="33"/>
      <c r="D233" s="33"/>
      <c r="E233" s="33"/>
      <c r="F233" s="33"/>
      <c r="G233" s="33"/>
      <c r="H233" s="33"/>
      <c r="J233" s="28">
        <f>IF(ISNUMBER(SEARCH("x",I233)),-0.5,0)</f>
        <v>0</v>
      </c>
      <c r="K233" s="19"/>
      <c r="M233" s="43"/>
      <c r="N233" s="43"/>
      <c r="O233" s="43"/>
      <c r="P233" s="43"/>
      <c r="Q233" s="43"/>
      <c r="R233" s="43"/>
      <c r="S233" s="43"/>
      <c r="T233" s="43"/>
      <c r="U233" s="43"/>
      <c r="V233" s="43"/>
      <c r="W233" s="43"/>
      <c r="X233" s="43"/>
      <c r="Y233" s="43"/>
      <c r="Z233" s="43"/>
    </row>
    <row r="234" spans="1:26" ht="16" x14ac:dyDescent="0.2">
      <c r="A234" s="34" t="s">
        <v>6</v>
      </c>
      <c r="B234" s="33" t="s">
        <v>2049</v>
      </c>
      <c r="C234" s="33"/>
      <c r="D234" s="33"/>
      <c r="E234" s="33"/>
      <c r="F234" s="33"/>
      <c r="G234" s="33"/>
      <c r="H234" s="33"/>
      <c r="J234" s="28">
        <f>IF(ISNUMBER(SEARCH("x",I234)),-0.5,0)</f>
        <v>0</v>
      </c>
      <c r="K234" s="19"/>
      <c r="M234" s="43"/>
      <c r="N234" s="43"/>
      <c r="O234" s="43"/>
      <c r="P234" s="43"/>
      <c r="Q234" s="43"/>
      <c r="R234" s="43"/>
      <c r="S234" s="43"/>
      <c r="T234" s="43"/>
      <c r="U234" s="43"/>
      <c r="V234" s="43"/>
      <c r="W234" s="43"/>
      <c r="X234" s="43"/>
      <c r="Y234" s="43"/>
      <c r="Z234" s="43"/>
    </row>
    <row r="235" spans="1:26" s="27" customFormat="1" x14ac:dyDescent="0.2"/>
    <row r="236" spans="1:26" x14ac:dyDescent="0.2">
      <c r="A236" s="37" t="s">
        <v>2048</v>
      </c>
      <c r="B236" s="37"/>
      <c r="C236" s="37"/>
      <c r="D236" s="37"/>
      <c r="E236" s="37"/>
      <c r="F236" s="37"/>
      <c r="G236" s="37"/>
      <c r="H236" s="37"/>
      <c r="I236" s="36" t="s">
        <v>1858</v>
      </c>
      <c r="M236" s="43" t="s">
        <v>2196</v>
      </c>
      <c r="N236" s="39"/>
      <c r="O236" s="39"/>
      <c r="P236" s="39"/>
      <c r="Q236" s="39"/>
      <c r="R236" s="39"/>
      <c r="S236" s="39"/>
      <c r="T236" s="39"/>
      <c r="U236" s="39"/>
      <c r="V236" s="39"/>
      <c r="W236" s="39"/>
      <c r="X236" s="39"/>
      <c r="Y236" s="39"/>
      <c r="Z236" s="39"/>
    </row>
    <row r="237" spans="1:26" x14ac:dyDescent="0.2">
      <c r="A237" s="35" t="s">
        <v>2047</v>
      </c>
      <c r="B237" s="35"/>
      <c r="C237" s="35"/>
      <c r="D237" s="35"/>
      <c r="E237" s="35"/>
      <c r="F237" s="35"/>
      <c r="G237" s="35"/>
      <c r="H237" s="35"/>
      <c r="I237" s="35"/>
      <c r="M237" s="39"/>
      <c r="N237" s="39"/>
      <c r="O237" s="39"/>
      <c r="P237" s="39"/>
      <c r="Q237" s="39"/>
      <c r="R237" s="39"/>
      <c r="S237" s="39"/>
      <c r="T237" s="39"/>
      <c r="U237" s="39"/>
      <c r="V237" s="39"/>
      <c r="W237" s="39"/>
      <c r="X237" s="39"/>
      <c r="Y237" s="39"/>
      <c r="Z237" s="39"/>
    </row>
    <row r="238" spans="1:26" x14ac:dyDescent="0.2">
      <c r="A238" s="35"/>
      <c r="B238" s="35"/>
      <c r="C238" s="35"/>
      <c r="D238" s="35"/>
      <c r="E238" s="35"/>
      <c r="F238" s="35"/>
      <c r="G238" s="35"/>
      <c r="H238" s="35"/>
      <c r="I238" s="35"/>
      <c r="M238" s="39"/>
      <c r="N238" s="39"/>
      <c r="O238" s="39"/>
      <c r="P238" s="39"/>
      <c r="Q238" s="39"/>
      <c r="R238" s="39"/>
      <c r="S238" s="39"/>
      <c r="T238" s="39"/>
      <c r="U238" s="39"/>
      <c r="V238" s="39"/>
      <c r="W238" s="39"/>
      <c r="X238" s="39"/>
      <c r="Y238" s="39"/>
      <c r="Z238" s="39"/>
    </row>
    <row r="239" spans="1:26" x14ac:dyDescent="0.2">
      <c r="A239" s="35"/>
      <c r="B239" s="35"/>
      <c r="C239" s="35"/>
      <c r="D239" s="35"/>
      <c r="E239" s="35"/>
      <c r="F239" s="35"/>
      <c r="G239" s="35"/>
      <c r="H239" s="35"/>
      <c r="I239" s="35"/>
      <c r="M239" s="39"/>
      <c r="N239" s="39"/>
      <c r="O239" s="39"/>
      <c r="P239" s="39"/>
      <c r="Q239" s="39"/>
      <c r="R239" s="39"/>
      <c r="S239" s="39"/>
      <c r="T239" s="39"/>
      <c r="U239" s="39"/>
      <c r="V239" s="39"/>
      <c r="W239" s="39"/>
      <c r="X239" s="39"/>
      <c r="Y239" s="39"/>
      <c r="Z239" s="39"/>
    </row>
    <row r="240" spans="1:26" ht="124.75" customHeight="1" x14ac:dyDescent="0.2">
      <c r="A240" s="35"/>
      <c r="B240" s="35"/>
      <c r="C240" s="35"/>
      <c r="D240" s="35"/>
      <c r="E240" s="35"/>
      <c r="F240" s="35"/>
      <c r="G240" s="35"/>
      <c r="H240" s="35"/>
      <c r="I240" s="35"/>
      <c r="M240" s="39"/>
      <c r="N240" s="39"/>
      <c r="O240" s="39"/>
      <c r="P240" s="39"/>
      <c r="Q240" s="39"/>
      <c r="R240" s="39"/>
      <c r="S240" s="39"/>
      <c r="T240" s="39"/>
      <c r="U240" s="39"/>
      <c r="V240" s="39"/>
      <c r="W240" s="39"/>
      <c r="X240" s="39"/>
      <c r="Y240" s="39"/>
      <c r="Z240" s="39"/>
    </row>
    <row r="241" spans="1:26" ht="16" x14ac:dyDescent="0.2">
      <c r="A241" s="34" t="s">
        <v>0</v>
      </c>
      <c r="B241" s="33" t="s">
        <v>2046</v>
      </c>
      <c r="C241" s="33"/>
      <c r="D241" s="33"/>
      <c r="E241" s="33"/>
      <c r="F241" s="33"/>
      <c r="G241" s="33"/>
      <c r="H241" s="33"/>
      <c r="J241" s="28">
        <v>0</v>
      </c>
      <c r="K241" s="19">
        <f>SUM(J241:J244)</f>
        <v>1</v>
      </c>
      <c r="M241" s="39"/>
      <c r="N241" s="39"/>
      <c r="O241" s="39"/>
      <c r="P241" s="39"/>
      <c r="Q241" s="39"/>
      <c r="R241" s="39"/>
      <c r="S241" s="39"/>
      <c r="T241" s="39"/>
      <c r="U241" s="39"/>
      <c r="V241" s="39"/>
      <c r="W241" s="39"/>
      <c r="X241" s="39"/>
      <c r="Y241" s="39"/>
      <c r="Z241" s="39"/>
    </row>
    <row r="242" spans="1:26" ht="16" x14ac:dyDescent="0.2">
      <c r="A242" s="34" t="s">
        <v>1</v>
      </c>
      <c r="B242" s="33" t="s">
        <v>2045</v>
      </c>
      <c r="C242" s="33"/>
      <c r="D242" s="33"/>
      <c r="E242" s="33"/>
      <c r="F242" s="33"/>
      <c r="G242" s="33"/>
      <c r="H242" s="33"/>
      <c r="J242" s="28">
        <v>0</v>
      </c>
      <c r="K242" s="19"/>
      <c r="M242" s="39"/>
      <c r="N242" s="39"/>
      <c r="O242" s="39"/>
      <c r="P242" s="39"/>
      <c r="Q242" s="39"/>
      <c r="R242" s="39"/>
      <c r="S242" s="39"/>
      <c r="T242" s="39"/>
      <c r="U242" s="39"/>
      <c r="V242" s="39"/>
      <c r="W242" s="39"/>
      <c r="X242" s="39"/>
      <c r="Y242" s="39"/>
      <c r="Z242" s="39"/>
    </row>
    <row r="243" spans="1:26" ht="16" x14ac:dyDescent="0.2">
      <c r="A243" s="42" t="s">
        <v>2</v>
      </c>
      <c r="B243" s="41" t="s">
        <v>2044</v>
      </c>
      <c r="C243" s="41"/>
      <c r="D243" s="41"/>
      <c r="E243" s="41"/>
      <c r="F243" s="41"/>
      <c r="G243" s="41"/>
      <c r="H243" s="41"/>
      <c r="I243" s="40" t="s">
        <v>2154</v>
      </c>
      <c r="J243" s="28">
        <f>IF(ISNUMBER(SEARCH("x",I243)),1,0)</f>
        <v>1</v>
      </c>
      <c r="K243" s="19"/>
      <c r="M243" s="39"/>
      <c r="N243" s="39"/>
      <c r="O243" s="39"/>
      <c r="P243" s="39"/>
      <c r="Q243" s="39"/>
      <c r="R243" s="39"/>
      <c r="S243" s="39"/>
      <c r="T243" s="39"/>
      <c r="U243" s="39"/>
      <c r="V243" s="39"/>
      <c r="W243" s="39"/>
      <c r="X243" s="39"/>
      <c r="Y243" s="39"/>
      <c r="Z243" s="39"/>
    </row>
    <row r="244" spans="1:26" ht="16" x14ac:dyDescent="0.2">
      <c r="A244" s="34" t="s">
        <v>3</v>
      </c>
      <c r="B244" s="33" t="s">
        <v>2043</v>
      </c>
      <c r="C244" s="33"/>
      <c r="D244" s="33"/>
      <c r="E244" s="33"/>
      <c r="F244" s="33"/>
      <c r="G244" s="33"/>
      <c r="H244" s="33"/>
      <c r="J244" s="28">
        <v>0</v>
      </c>
      <c r="K244" s="19"/>
      <c r="M244" s="39"/>
      <c r="N244" s="39"/>
      <c r="O244" s="39"/>
      <c r="P244" s="39"/>
      <c r="Q244" s="39"/>
      <c r="R244" s="39"/>
      <c r="S244" s="39"/>
      <c r="T244" s="39"/>
      <c r="U244" s="39"/>
      <c r="V244" s="39"/>
      <c r="W244" s="39"/>
      <c r="X244" s="39"/>
      <c r="Y244" s="39"/>
      <c r="Z244" s="39"/>
    </row>
    <row r="245" spans="1:26" s="27" customFormat="1" x14ac:dyDescent="0.2"/>
    <row r="246" spans="1:26" x14ac:dyDescent="0.2">
      <c r="A246" s="37" t="s">
        <v>2042</v>
      </c>
      <c r="B246" s="37"/>
      <c r="C246" s="37"/>
      <c r="D246" s="37"/>
      <c r="E246" s="37"/>
      <c r="F246" s="37"/>
      <c r="G246" s="37"/>
      <c r="H246" s="37"/>
      <c r="I246" s="36" t="s">
        <v>1858</v>
      </c>
      <c r="M246" s="43" t="s">
        <v>2195</v>
      </c>
      <c r="N246" s="39"/>
      <c r="O246" s="39"/>
      <c r="P246" s="39"/>
      <c r="Q246" s="39"/>
      <c r="R246" s="39"/>
      <c r="S246" s="39"/>
      <c r="T246" s="39"/>
      <c r="U246" s="39"/>
      <c r="V246" s="39"/>
      <c r="W246" s="39"/>
      <c r="X246" s="39"/>
      <c r="Y246" s="39"/>
      <c r="Z246" s="39"/>
    </row>
    <row r="247" spans="1:26" x14ac:dyDescent="0.2">
      <c r="A247" s="35" t="s">
        <v>2041</v>
      </c>
      <c r="B247" s="35"/>
      <c r="C247" s="35"/>
      <c r="D247" s="35"/>
      <c r="E247" s="35"/>
      <c r="F247" s="35"/>
      <c r="G247" s="35"/>
      <c r="H247" s="35"/>
      <c r="I247" s="35"/>
      <c r="M247" s="39"/>
      <c r="N247" s="39"/>
      <c r="O247" s="39"/>
      <c r="P247" s="39"/>
      <c r="Q247" s="39"/>
      <c r="R247" s="39"/>
      <c r="S247" s="39"/>
      <c r="T247" s="39"/>
      <c r="U247" s="39"/>
      <c r="V247" s="39"/>
      <c r="W247" s="39"/>
      <c r="X247" s="39"/>
      <c r="Y247" s="39"/>
      <c r="Z247" s="39"/>
    </row>
    <row r="248" spans="1:26" x14ac:dyDescent="0.2">
      <c r="A248" s="35"/>
      <c r="B248" s="35"/>
      <c r="C248" s="35"/>
      <c r="D248" s="35"/>
      <c r="E248" s="35"/>
      <c r="F248" s="35"/>
      <c r="G248" s="35"/>
      <c r="H248" s="35"/>
      <c r="I248" s="35"/>
      <c r="M248" s="39"/>
      <c r="N248" s="39"/>
      <c r="O248" s="39"/>
      <c r="P248" s="39"/>
      <c r="Q248" s="39"/>
      <c r="R248" s="39"/>
      <c r="S248" s="39"/>
      <c r="T248" s="39"/>
      <c r="U248" s="39"/>
      <c r="V248" s="39"/>
      <c r="W248" s="39"/>
      <c r="X248" s="39"/>
      <c r="Y248" s="39"/>
      <c r="Z248" s="39"/>
    </row>
    <row r="249" spans="1:26" x14ac:dyDescent="0.2">
      <c r="A249" s="35"/>
      <c r="B249" s="35"/>
      <c r="C249" s="35"/>
      <c r="D249" s="35"/>
      <c r="E249" s="35"/>
      <c r="F249" s="35"/>
      <c r="G249" s="35"/>
      <c r="H249" s="35"/>
      <c r="I249" s="35"/>
      <c r="M249" s="39"/>
      <c r="N249" s="39"/>
      <c r="O249" s="39"/>
      <c r="P249" s="39"/>
      <c r="Q249" s="39"/>
      <c r="R249" s="39"/>
      <c r="S249" s="39"/>
      <c r="T249" s="39"/>
      <c r="U249" s="39"/>
      <c r="V249" s="39"/>
      <c r="W249" s="39"/>
      <c r="X249" s="39"/>
      <c r="Y249" s="39"/>
      <c r="Z249" s="39"/>
    </row>
    <row r="250" spans="1:26" x14ac:dyDescent="0.2">
      <c r="A250" s="35"/>
      <c r="B250" s="35"/>
      <c r="C250" s="35"/>
      <c r="D250" s="35"/>
      <c r="E250" s="35"/>
      <c r="F250" s="35"/>
      <c r="G250" s="35"/>
      <c r="H250" s="35"/>
      <c r="I250" s="35"/>
      <c r="M250" s="39"/>
      <c r="N250" s="39"/>
      <c r="O250" s="39"/>
      <c r="P250" s="39"/>
      <c r="Q250" s="39"/>
      <c r="R250" s="39"/>
      <c r="S250" s="39"/>
      <c r="T250" s="39"/>
      <c r="U250" s="39"/>
      <c r="V250" s="39"/>
      <c r="W250" s="39"/>
      <c r="X250" s="39"/>
      <c r="Y250" s="39"/>
      <c r="Z250" s="39"/>
    </row>
    <row r="251" spans="1:26" ht="16" x14ac:dyDescent="0.2">
      <c r="A251" s="34" t="s">
        <v>0</v>
      </c>
      <c r="B251" s="33" t="s">
        <v>1339</v>
      </c>
      <c r="C251" s="33"/>
      <c r="D251" s="33"/>
      <c r="E251" s="33"/>
      <c r="F251" s="33"/>
      <c r="G251" s="33"/>
      <c r="H251" s="33"/>
      <c r="J251" s="28">
        <v>0</v>
      </c>
      <c r="K251" s="19">
        <f>SUM(J251:J254)</f>
        <v>1</v>
      </c>
      <c r="M251" s="39"/>
      <c r="N251" s="39"/>
      <c r="O251" s="39"/>
      <c r="P251" s="39"/>
      <c r="Q251" s="39"/>
      <c r="R251" s="39"/>
      <c r="S251" s="39"/>
      <c r="T251" s="39"/>
      <c r="U251" s="39"/>
      <c r="V251" s="39"/>
      <c r="W251" s="39"/>
      <c r="X251" s="39"/>
      <c r="Y251" s="39"/>
      <c r="Z251" s="39"/>
    </row>
    <row r="252" spans="1:26" ht="16" x14ac:dyDescent="0.2">
      <c r="A252" s="42" t="s">
        <v>1</v>
      </c>
      <c r="B252" s="41" t="s">
        <v>1426</v>
      </c>
      <c r="C252" s="41"/>
      <c r="D252" s="41"/>
      <c r="E252" s="41"/>
      <c r="F252" s="41"/>
      <c r="G252" s="41"/>
      <c r="H252" s="41"/>
      <c r="I252" s="40" t="s">
        <v>2154</v>
      </c>
      <c r="J252" s="28">
        <f>IF(ISNUMBER(SEARCH("x",I252)),1,0)</f>
        <v>1</v>
      </c>
      <c r="K252" s="19"/>
      <c r="M252" s="39"/>
      <c r="N252" s="39"/>
      <c r="O252" s="39"/>
      <c r="P252" s="39"/>
      <c r="Q252" s="39"/>
      <c r="R252" s="39"/>
      <c r="S252" s="39"/>
      <c r="T252" s="39"/>
      <c r="U252" s="39"/>
      <c r="V252" s="39"/>
      <c r="W252" s="39"/>
      <c r="X252" s="39"/>
      <c r="Y252" s="39"/>
      <c r="Z252" s="39"/>
    </row>
    <row r="253" spans="1:26" ht="16" x14ac:dyDescent="0.2">
      <c r="A253" s="34" t="s">
        <v>2</v>
      </c>
      <c r="B253" s="33" t="s">
        <v>1427</v>
      </c>
      <c r="C253" s="33"/>
      <c r="D253" s="33"/>
      <c r="E253" s="33"/>
      <c r="F253" s="33"/>
      <c r="G253" s="33"/>
      <c r="H253" s="33"/>
      <c r="J253" s="38">
        <v>0</v>
      </c>
      <c r="K253" s="19"/>
      <c r="M253" s="39"/>
      <c r="N253" s="39"/>
      <c r="O253" s="39"/>
      <c r="P253" s="39"/>
      <c r="Q253" s="39"/>
      <c r="R253" s="39"/>
      <c r="S253" s="39"/>
      <c r="T253" s="39"/>
      <c r="U253" s="39"/>
      <c r="V253" s="39"/>
      <c r="W253" s="39"/>
      <c r="X253" s="39"/>
      <c r="Y253" s="39"/>
      <c r="Z253" s="39"/>
    </row>
    <row r="254" spans="1:26" ht="16" x14ac:dyDescent="0.2">
      <c r="A254" s="34" t="s">
        <v>3</v>
      </c>
      <c r="B254" s="33" t="s">
        <v>1340</v>
      </c>
      <c r="C254" s="33"/>
      <c r="D254" s="33"/>
      <c r="E254" s="33"/>
      <c r="F254" s="33"/>
      <c r="G254" s="33"/>
      <c r="H254" s="33"/>
      <c r="J254" s="28">
        <v>0</v>
      </c>
      <c r="K254" s="19"/>
      <c r="M254" s="39"/>
      <c r="N254" s="39"/>
      <c r="O254" s="39"/>
      <c r="P254" s="39"/>
      <c r="Q254" s="39"/>
      <c r="R254" s="39"/>
      <c r="S254" s="39"/>
      <c r="T254" s="39"/>
      <c r="U254" s="39"/>
      <c r="V254" s="39"/>
      <c r="W254" s="39"/>
      <c r="X254" s="39"/>
      <c r="Y254" s="39"/>
      <c r="Z254" s="39"/>
    </row>
    <row r="255" spans="1:26" s="27" customFormat="1" x14ac:dyDescent="0.2"/>
    <row r="256" spans="1:26" x14ac:dyDescent="0.2">
      <c r="A256" s="37" t="s">
        <v>2040</v>
      </c>
      <c r="B256" s="37"/>
      <c r="C256" s="37"/>
      <c r="D256" s="37"/>
      <c r="E256" s="37"/>
      <c r="F256" s="37"/>
      <c r="G256" s="37"/>
      <c r="H256" s="37"/>
      <c r="I256" s="36" t="s">
        <v>1858</v>
      </c>
      <c r="M256" s="43" t="s">
        <v>2194</v>
      </c>
      <c r="N256" s="39"/>
      <c r="O256" s="39"/>
      <c r="P256" s="39"/>
      <c r="Q256" s="39"/>
      <c r="R256" s="39"/>
      <c r="S256" s="39"/>
      <c r="T256" s="39"/>
      <c r="U256" s="39"/>
      <c r="V256" s="39"/>
      <c r="W256" s="39"/>
      <c r="X256" s="39"/>
      <c r="Y256" s="39"/>
      <c r="Z256" s="39"/>
    </row>
    <row r="257" spans="1:26" x14ac:dyDescent="0.2">
      <c r="A257" s="35" t="s">
        <v>2039</v>
      </c>
      <c r="B257" s="35"/>
      <c r="C257" s="35"/>
      <c r="D257" s="35"/>
      <c r="E257" s="35"/>
      <c r="F257" s="35"/>
      <c r="G257" s="35"/>
      <c r="H257" s="35"/>
      <c r="I257" s="35"/>
      <c r="M257" s="39"/>
      <c r="N257" s="39"/>
      <c r="O257" s="39"/>
      <c r="P257" s="39"/>
      <c r="Q257" s="39"/>
      <c r="R257" s="39"/>
      <c r="S257" s="39"/>
      <c r="T257" s="39"/>
      <c r="U257" s="39"/>
      <c r="V257" s="39"/>
      <c r="W257" s="39"/>
      <c r="X257" s="39"/>
      <c r="Y257" s="39"/>
      <c r="Z257" s="39"/>
    </row>
    <row r="258" spans="1:26" x14ac:dyDescent="0.2">
      <c r="A258" s="35"/>
      <c r="B258" s="35"/>
      <c r="C258" s="35"/>
      <c r="D258" s="35"/>
      <c r="E258" s="35"/>
      <c r="F258" s="35"/>
      <c r="G258" s="35"/>
      <c r="H258" s="35"/>
      <c r="I258" s="35"/>
      <c r="M258" s="39"/>
      <c r="N258" s="39"/>
      <c r="O258" s="39"/>
      <c r="P258" s="39"/>
      <c r="Q258" s="39"/>
      <c r="R258" s="39"/>
      <c r="S258" s="39"/>
      <c r="T258" s="39"/>
      <c r="U258" s="39"/>
      <c r="V258" s="39"/>
      <c r="W258" s="39"/>
      <c r="X258" s="39"/>
      <c r="Y258" s="39"/>
      <c r="Z258" s="39"/>
    </row>
    <row r="259" spans="1:26" x14ac:dyDescent="0.2">
      <c r="A259" s="35"/>
      <c r="B259" s="35"/>
      <c r="C259" s="35"/>
      <c r="D259" s="35"/>
      <c r="E259" s="35"/>
      <c r="F259" s="35"/>
      <c r="G259" s="35"/>
      <c r="H259" s="35"/>
      <c r="I259" s="35"/>
      <c r="M259" s="39"/>
      <c r="N259" s="39"/>
      <c r="O259" s="39"/>
      <c r="P259" s="39"/>
      <c r="Q259" s="39"/>
      <c r="R259" s="39"/>
      <c r="S259" s="39"/>
      <c r="T259" s="39"/>
      <c r="U259" s="39"/>
      <c r="V259" s="39"/>
      <c r="W259" s="39"/>
      <c r="X259" s="39"/>
      <c r="Y259" s="39"/>
      <c r="Z259" s="39"/>
    </row>
    <row r="260" spans="1:26" ht="225" customHeight="1" x14ac:dyDescent="0.2">
      <c r="A260" s="35"/>
      <c r="B260" s="35"/>
      <c r="C260" s="35"/>
      <c r="D260" s="35"/>
      <c r="E260" s="35"/>
      <c r="F260" s="35"/>
      <c r="G260" s="35"/>
      <c r="H260" s="35"/>
      <c r="I260" s="35"/>
      <c r="M260" s="39"/>
      <c r="N260" s="39"/>
      <c r="O260" s="39"/>
      <c r="P260" s="39"/>
      <c r="Q260" s="39"/>
      <c r="R260" s="39"/>
      <c r="S260" s="39"/>
      <c r="T260" s="39"/>
      <c r="U260" s="39"/>
      <c r="V260" s="39"/>
      <c r="W260" s="39"/>
      <c r="X260" s="39"/>
      <c r="Y260" s="39"/>
      <c r="Z260" s="39"/>
    </row>
    <row r="261" spans="1:26" ht="28.75" customHeight="1" x14ac:dyDescent="0.2">
      <c r="A261" s="34" t="s">
        <v>0</v>
      </c>
      <c r="B261" s="33" t="s">
        <v>2038</v>
      </c>
      <c r="C261" s="33"/>
      <c r="D261" s="33"/>
      <c r="E261" s="33"/>
      <c r="F261" s="33"/>
      <c r="G261" s="33"/>
      <c r="H261" s="33"/>
      <c r="J261" s="28">
        <v>0</v>
      </c>
      <c r="K261" s="19">
        <f>SUM(J261:J264)</f>
        <v>1</v>
      </c>
      <c r="M261" s="39"/>
      <c r="N261" s="39"/>
      <c r="O261" s="39"/>
      <c r="P261" s="39"/>
      <c r="Q261" s="39"/>
      <c r="R261" s="39"/>
      <c r="S261" s="39"/>
      <c r="T261" s="39"/>
      <c r="U261" s="39"/>
      <c r="V261" s="39"/>
      <c r="W261" s="39"/>
      <c r="X261" s="39"/>
      <c r="Y261" s="39"/>
      <c r="Z261" s="39"/>
    </row>
    <row r="262" spans="1:26" ht="16" x14ac:dyDescent="0.2">
      <c r="A262" s="42" t="s">
        <v>1</v>
      </c>
      <c r="B262" s="41" t="s">
        <v>2037</v>
      </c>
      <c r="C262" s="41"/>
      <c r="D262" s="41"/>
      <c r="E262" s="41"/>
      <c r="F262" s="41"/>
      <c r="G262" s="41"/>
      <c r="H262" s="41"/>
      <c r="I262" s="40" t="s">
        <v>2154</v>
      </c>
      <c r="J262" s="28">
        <f>IF(ISNUMBER(SEARCH("x",I262)),1,0)</f>
        <v>1</v>
      </c>
      <c r="K262" s="19"/>
      <c r="M262" s="39"/>
      <c r="N262" s="39"/>
      <c r="O262" s="39"/>
      <c r="P262" s="39"/>
      <c r="Q262" s="39"/>
      <c r="R262" s="39"/>
      <c r="S262" s="39"/>
      <c r="T262" s="39"/>
      <c r="U262" s="39"/>
      <c r="V262" s="39"/>
      <c r="W262" s="39"/>
      <c r="X262" s="39"/>
      <c r="Y262" s="39"/>
      <c r="Z262" s="39"/>
    </row>
    <row r="263" spans="1:26" ht="16" x14ac:dyDescent="0.2">
      <c r="A263" s="34" t="s">
        <v>2</v>
      </c>
      <c r="B263" s="33" t="s">
        <v>2036</v>
      </c>
      <c r="C263" s="33"/>
      <c r="D263" s="33"/>
      <c r="E263" s="33"/>
      <c r="F263" s="33"/>
      <c r="G263" s="33"/>
      <c r="H263" s="33"/>
      <c r="J263" s="38">
        <v>0</v>
      </c>
      <c r="K263" s="19"/>
      <c r="M263" s="39"/>
      <c r="N263" s="39"/>
      <c r="O263" s="39"/>
      <c r="P263" s="39"/>
      <c r="Q263" s="39"/>
      <c r="R263" s="39"/>
      <c r="S263" s="39"/>
      <c r="T263" s="39"/>
      <c r="U263" s="39"/>
      <c r="V263" s="39"/>
      <c r="W263" s="39"/>
      <c r="X263" s="39"/>
      <c r="Y263" s="39"/>
      <c r="Z263" s="39"/>
    </row>
    <row r="264" spans="1:26" ht="16" x14ac:dyDescent="0.2">
      <c r="A264" s="34" t="s">
        <v>3</v>
      </c>
      <c r="B264" s="33" t="s">
        <v>2035</v>
      </c>
      <c r="C264" s="33"/>
      <c r="D264" s="33"/>
      <c r="E264" s="33"/>
      <c r="F264" s="33"/>
      <c r="G264" s="33"/>
      <c r="H264" s="33"/>
      <c r="J264" s="28">
        <v>0</v>
      </c>
      <c r="K264" s="19"/>
      <c r="M264" s="39"/>
      <c r="N264" s="39"/>
      <c r="O264" s="39"/>
      <c r="P264" s="39"/>
      <c r="Q264" s="39"/>
      <c r="R264" s="39"/>
      <c r="S264" s="39"/>
      <c r="T264" s="39"/>
      <c r="U264" s="39"/>
      <c r="V264" s="39"/>
      <c r="W264" s="39"/>
      <c r="X264" s="39"/>
      <c r="Y264" s="39"/>
      <c r="Z264" s="39"/>
    </row>
    <row r="265" spans="1:26" s="27" customFormat="1" x14ac:dyDescent="0.2"/>
    <row r="266" spans="1:26" x14ac:dyDescent="0.2">
      <c r="A266" s="37" t="s">
        <v>2034</v>
      </c>
      <c r="B266" s="37"/>
      <c r="C266" s="37"/>
      <c r="D266" s="37"/>
      <c r="E266" s="37"/>
      <c r="F266" s="37"/>
      <c r="G266" s="37"/>
      <c r="H266" s="37"/>
      <c r="I266" s="36" t="s">
        <v>1858</v>
      </c>
      <c r="M266" s="43" t="s">
        <v>2193</v>
      </c>
      <c r="N266" s="43"/>
      <c r="O266" s="43"/>
      <c r="P266" s="43"/>
      <c r="Q266" s="43"/>
      <c r="R266" s="43"/>
      <c r="S266" s="43"/>
      <c r="T266" s="43"/>
      <c r="U266" s="43"/>
      <c r="V266" s="43"/>
      <c r="W266" s="43"/>
      <c r="X266" s="43"/>
      <c r="Y266" s="43"/>
      <c r="Z266" s="43"/>
    </row>
    <row r="267" spans="1:26" x14ac:dyDescent="0.2">
      <c r="A267" s="35" t="s">
        <v>2033</v>
      </c>
      <c r="B267" s="35"/>
      <c r="C267" s="35"/>
      <c r="D267" s="35"/>
      <c r="E267" s="35"/>
      <c r="F267" s="35"/>
      <c r="G267" s="35"/>
      <c r="H267" s="35"/>
      <c r="I267" s="35"/>
      <c r="M267" s="43"/>
      <c r="N267" s="43"/>
      <c r="O267" s="43"/>
      <c r="P267" s="43"/>
      <c r="Q267" s="43"/>
      <c r="R267" s="43"/>
      <c r="S267" s="43"/>
      <c r="T267" s="43"/>
      <c r="U267" s="43"/>
      <c r="V267" s="43"/>
      <c r="W267" s="43"/>
      <c r="X267" s="43"/>
      <c r="Y267" s="43"/>
      <c r="Z267" s="43"/>
    </row>
    <row r="268" spans="1:26" x14ac:dyDescent="0.2">
      <c r="A268" s="35"/>
      <c r="B268" s="35"/>
      <c r="C268" s="35"/>
      <c r="D268" s="35"/>
      <c r="E268" s="35"/>
      <c r="F268" s="35"/>
      <c r="G268" s="35"/>
      <c r="H268" s="35"/>
      <c r="I268" s="35"/>
      <c r="M268" s="43"/>
      <c r="N268" s="43"/>
      <c r="O268" s="43"/>
      <c r="P268" s="43"/>
      <c r="Q268" s="43"/>
      <c r="R268" s="43"/>
      <c r="S268" s="43"/>
      <c r="T268" s="43"/>
      <c r="U268" s="43"/>
      <c r="V268" s="43"/>
      <c r="W268" s="43"/>
      <c r="X268" s="43"/>
      <c r="Y268" s="43"/>
      <c r="Z268" s="43"/>
    </row>
    <row r="269" spans="1:26" x14ac:dyDescent="0.2">
      <c r="A269" s="35"/>
      <c r="B269" s="35"/>
      <c r="C269" s="35"/>
      <c r="D269" s="35"/>
      <c r="E269" s="35"/>
      <c r="F269" s="35"/>
      <c r="G269" s="35"/>
      <c r="H269" s="35"/>
      <c r="I269" s="35"/>
      <c r="M269" s="43"/>
      <c r="N269" s="43"/>
      <c r="O269" s="43"/>
      <c r="P269" s="43"/>
      <c r="Q269" s="43"/>
      <c r="R269" s="43"/>
      <c r="S269" s="43"/>
      <c r="T269" s="43"/>
      <c r="U269" s="43"/>
      <c r="V269" s="43"/>
      <c r="W269" s="43"/>
      <c r="X269" s="43"/>
      <c r="Y269" s="43"/>
      <c r="Z269" s="43"/>
    </row>
    <row r="270" spans="1:26" x14ac:dyDescent="0.2">
      <c r="A270" s="35"/>
      <c r="B270" s="35"/>
      <c r="C270" s="35"/>
      <c r="D270" s="35"/>
      <c r="E270" s="35"/>
      <c r="F270" s="35"/>
      <c r="G270" s="35"/>
      <c r="H270" s="35"/>
      <c r="I270" s="35"/>
      <c r="M270" s="43"/>
      <c r="N270" s="43"/>
      <c r="O270" s="43"/>
      <c r="P270" s="43"/>
      <c r="Q270" s="43"/>
      <c r="R270" s="43"/>
      <c r="S270" s="43"/>
      <c r="T270" s="43"/>
      <c r="U270" s="43"/>
      <c r="V270" s="43"/>
      <c r="W270" s="43"/>
      <c r="X270" s="43"/>
      <c r="Y270" s="43"/>
      <c r="Z270" s="43"/>
    </row>
    <row r="271" spans="1:26" ht="16" x14ac:dyDescent="0.2">
      <c r="A271" s="42" t="s">
        <v>0</v>
      </c>
      <c r="B271" s="41" t="s">
        <v>2032</v>
      </c>
      <c r="C271" s="41"/>
      <c r="D271" s="41"/>
      <c r="E271" s="41"/>
      <c r="F271" s="41"/>
      <c r="G271" s="41"/>
      <c r="H271" s="41"/>
      <c r="I271" s="40" t="s">
        <v>2154</v>
      </c>
      <c r="J271" s="28">
        <f>IF(ISNUMBER(SEARCH("x",I271)),0.5,0)</f>
        <v>0.5</v>
      </c>
      <c r="K271" s="19">
        <f>MAX(SUM(J271:J275),0)</f>
        <v>1</v>
      </c>
      <c r="M271" s="43"/>
      <c r="N271" s="43"/>
      <c r="O271" s="43"/>
      <c r="P271" s="43"/>
      <c r="Q271" s="43"/>
      <c r="R271" s="43"/>
      <c r="S271" s="43"/>
      <c r="T271" s="43"/>
      <c r="U271" s="43"/>
      <c r="V271" s="43"/>
      <c r="W271" s="43"/>
      <c r="X271" s="43"/>
      <c r="Y271" s="43"/>
      <c r="Z271" s="43"/>
    </row>
    <row r="272" spans="1:26" ht="16" x14ac:dyDescent="0.2">
      <c r="A272" s="34" t="s">
        <v>1</v>
      </c>
      <c r="B272" s="33" t="s">
        <v>2031</v>
      </c>
      <c r="C272" s="33"/>
      <c r="D272" s="33"/>
      <c r="E272" s="33"/>
      <c r="F272" s="33"/>
      <c r="G272" s="33"/>
      <c r="H272" s="33"/>
      <c r="J272" s="28">
        <f>IF(ISNUMBER(SEARCH("x",I272)),-0.5,0)</f>
        <v>0</v>
      </c>
      <c r="K272" s="19"/>
      <c r="M272" s="43"/>
      <c r="N272" s="43"/>
      <c r="O272" s="43"/>
      <c r="P272" s="43"/>
      <c r="Q272" s="43"/>
      <c r="R272" s="43"/>
      <c r="S272" s="43"/>
      <c r="T272" s="43"/>
      <c r="U272" s="43"/>
      <c r="V272" s="43"/>
      <c r="W272" s="43"/>
      <c r="X272" s="43"/>
      <c r="Y272" s="43"/>
      <c r="Z272" s="43"/>
    </row>
    <row r="273" spans="1:26" ht="16" x14ac:dyDescent="0.2">
      <c r="A273" s="34" t="s">
        <v>2</v>
      </c>
      <c r="B273" s="33" t="s">
        <v>2030</v>
      </c>
      <c r="C273" s="33"/>
      <c r="D273" s="33"/>
      <c r="E273" s="33"/>
      <c r="F273" s="33"/>
      <c r="G273" s="33"/>
      <c r="H273" s="33"/>
      <c r="J273" s="28">
        <f>IF(ISNUMBER(SEARCH("x",I273)),-0.5,0)</f>
        <v>0</v>
      </c>
      <c r="K273" s="19"/>
      <c r="M273" s="43"/>
      <c r="N273" s="43"/>
      <c r="O273" s="43"/>
      <c r="P273" s="43"/>
      <c r="Q273" s="43"/>
      <c r="R273" s="43"/>
      <c r="S273" s="43"/>
      <c r="T273" s="43"/>
      <c r="U273" s="43"/>
      <c r="V273" s="43"/>
      <c r="W273" s="43"/>
      <c r="X273" s="43"/>
      <c r="Y273" s="43"/>
      <c r="Z273" s="43"/>
    </row>
    <row r="274" spans="1:26" ht="28.75" customHeight="1" x14ac:dyDescent="0.2">
      <c r="A274" s="34" t="s">
        <v>3</v>
      </c>
      <c r="B274" s="33" t="s">
        <v>2029</v>
      </c>
      <c r="C274" s="33"/>
      <c r="D274" s="33"/>
      <c r="E274" s="33"/>
      <c r="F274" s="33"/>
      <c r="G274" s="33"/>
      <c r="H274" s="33"/>
      <c r="J274" s="28">
        <f>IF(ISNUMBER(SEARCH("x",I274)),-0.5,0)</f>
        <v>0</v>
      </c>
      <c r="K274" s="19"/>
      <c r="M274" s="43"/>
      <c r="N274" s="43"/>
      <c r="O274" s="43"/>
      <c r="P274" s="43"/>
      <c r="Q274" s="43"/>
      <c r="R274" s="43"/>
      <c r="S274" s="43"/>
      <c r="T274" s="43"/>
      <c r="U274" s="43"/>
      <c r="V274" s="43"/>
      <c r="W274" s="43"/>
      <c r="X274" s="43"/>
      <c r="Y274" s="43"/>
      <c r="Z274" s="43"/>
    </row>
    <row r="275" spans="1:26" ht="16" x14ac:dyDescent="0.2">
      <c r="A275" s="42" t="s">
        <v>6</v>
      </c>
      <c r="B275" s="41" t="s">
        <v>2028</v>
      </c>
      <c r="C275" s="41"/>
      <c r="D275" s="41"/>
      <c r="E275" s="41"/>
      <c r="F275" s="41"/>
      <c r="G275" s="41"/>
      <c r="H275" s="41"/>
      <c r="I275" s="40" t="s">
        <v>2154</v>
      </c>
      <c r="J275" s="28">
        <f>IF(ISNUMBER(SEARCH("x",I275)),0.5,0)</f>
        <v>0.5</v>
      </c>
      <c r="K275" s="19"/>
      <c r="M275" s="43"/>
      <c r="N275" s="43"/>
      <c r="O275" s="43"/>
      <c r="P275" s="43"/>
      <c r="Q275" s="43"/>
      <c r="R275" s="43"/>
      <c r="S275" s="43"/>
      <c r="T275" s="43"/>
      <c r="U275" s="43"/>
      <c r="V275" s="43"/>
      <c r="W275" s="43"/>
      <c r="X275" s="43"/>
      <c r="Y275" s="43"/>
      <c r="Z275" s="43"/>
    </row>
    <row r="276" spans="1:26" s="27" customFormat="1" x14ac:dyDescent="0.2"/>
    <row r="277" spans="1:26" x14ac:dyDescent="0.2">
      <c r="A277" s="37" t="s">
        <v>2027</v>
      </c>
      <c r="B277" s="37"/>
      <c r="C277" s="37"/>
      <c r="D277" s="37"/>
      <c r="E277" s="37"/>
      <c r="F277" s="37"/>
      <c r="G277" s="37"/>
      <c r="H277" s="37"/>
      <c r="I277" s="36" t="s">
        <v>1858</v>
      </c>
      <c r="M277" s="43" t="s">
        <v>2192</v>
      </c>
      <c r="N277" s="39"/>
      <c r="O277" s="39"/>
      <c r="P277" s="39"/>
      <c r="Q277" s="39"/>
      <c r="R277" s="39"/>
      <c r="S277" s="39"/>
      <c r="T277" s="39"/>
      <c r="U277" s="39"/>
      <c r="V277" s="39"/>
      <c r="W277" s="39"/>
      <c r="X277" s="39"/>
      <c r="Y277" s="39"/>
      <c r="Z277" s="39"/>
    </row>
    <row r="278" spans="1:26" x14ac:dyDescent="0.2">
      <c r="A278" s="35" t="s">
        <v>2026</v>
      </c>
      <c r="B278" s="35"/>
      <c r="C278" s="35"/>
      <c r="D278" s="35"/>
      <c r="E278" s="35"/>
      <c r="F278" s="35"/>
      <c r="G278" s="35"/>
      <c r="H278" s="35"/>
      <c r="I278" s="35"/>
      <c r="M278" s="39"/>
      <c r="N278" s="39"/>
      <c r="O278" s="39"/>
      <c r="P278" s="39"/>
      <c r="Q278" s="39"/>
      <c r="R278" s="39"/>
      <c r="S278" s="39"/>
      <c r="T278" s="39"/>
      <c r="U278" s="39"/>
      <c r="V278" s="39"/>
      <c r="W278" s="39"/>
      <c r="X278" s="39"/>
      <c r="Y278" s="39"/>
      <c r="Z278" s="39"/>
    </row>
    <row r="279" spans="1:26" x14ac:dyDescent="0.2">
      <c r="A279" s="35"/>
      <c r="B279" s="35"/>
      <c r="C279" s="35"/>
      <c r="D279" s="35"/>
      <c r="E279" s="35"/>
      <c r="F279" s="35"/>
      <c r="G279" s="35"/>
      <c r="H279" s="35"/>
      <c r="I279" s="35"/>
      <c r="M279" s="39"/>
      <c r="N279" s="39"/>
      <c r="O279" s="39"/>
      <c r="P279" s="39"/>
      <c r="Q279" s="39"/>
      <c r="R279" s="39"/>
      <c r="S279" s="39"/>
      <c r="T279" s="39"/>
      <c r="U279" s="39"/>
      <c r="V279" s="39"/>
      <c r="W279" s="39"/>
      <c r="X279" s="39"/>
      <c r="Y279" s="39"/>
      <c r="Z279" s="39"/>
    </row>
    <row r="280" spans="1:26" x14ac:dyDescent="0.2">
      <c r="A280" s="35"/>
      <c r="B280" s="35"/>
      <c r="C280" s="35"/>
      <c r="D280" s="35"/>
      <c r="E280" s="35"/>
      <c r="F280" s="35"/>
      <c r="G280" s="35"/>
      <c r="H280" s="35"/>
      <c r="I280" s="35"/>
      <c r="M280" s="39"/>
      <c r="N280" s="39"/>
      <c r="O280" s="39"/>
      <c r="P280" s="39"/>
      <c r="Q280" s="39"/>
      <c r="R280" s="39"/>
      <c r="S280" s="39"/>
      <c r="T280" s="39"/>
      <c r="U280" s="39"/>
      <c r="V280" s="39"/>
      <c r="W280" s="39"/>
      <c r="X280" s="39"/>
      <c r="Y280" s="39"/>
      <c r="Z280" s="39"/>
    </row>
    <row r="281" spans="1:26" ht="39.5" customHeight="1" x14ac:dyDescent="0.2">
      <c r="A281" s="35"/>
      <c r="B281" s="35"/>
      <c r="C281" s="35"/>
      <c r="D281" s="35"/>
      <c r="E281" s="35"/>
      <c r="F281" s="35"/>
      <c r="G281" s="35"/>
      <c r="H281" s="35"/>
      <c r="I281" s="35"/>
      <c r="M281" s="39"/>
      <c r="N281" s="39"/>
      <c r="O281" s="39"/>
      <c r="P281" s="39"/>
      <c r="Q281" s="39"/>
      <c r="R281" s="39"/>
      <c r="S281" s="39"/>
      <c r="T281" s="39"/>
      <c r="U281" s="39"/>
      <c r="V281" s="39"/>
      <c r="W281" s="39"/>
      <c r="X281" s="39"/>
      <c r="Y281" s="39"/>
      <c r="Z281" s="39"/>
    </row>
    <row r="282" spans="1:26" ht="16" x14ac:dyDescent="0.2">
      <c r="A282" s="34" t="s">
        <v>0</v>
      </c>
      <c r="B282" s="33" t="s">
        <v>1139</v>
      </c>
      <c r="C282" s="33"/>
      <c r="D282" s="33"/>
      <c r="E282" s="33"/>
      <c r="F282" s="33"/>
      <c r="G282" s="33"/>
      <c r="H282" s="33"/>
      <c r="J282" s="28">
        <v>0</v>
      </c>
      <c r="K282" s="19">
        <f>SUM(J282:J285)</f>
        <v>1</v>
      </c>
      <c r="M282" s="39"/>
      <c r="N282" s="39"/>
      <c r="O282" s="39"/>
      <c r="P282" s="39"/>
      <c r="Q282" s="39"/>
      <c r="R282" s="39"/>
      <c r="S282" s="39"/>
      <c r="T282" s="39"/>
      <c r="U282" s="39"/>
      <c r="V282" s="39"/>
      <c r="W282" s="39"/>
      <c r="X282" s="39"/>
      <c r="Y282" s="39"/>
      <c r="Z282" s="39"/>
    </row>
    <row r="283" spans="1:26" ht="16" x14ac:dyDescent="0.2">
      <c r="A283" s="42" t="s">
        <v>1</v>
      </c>
      <c r="B283" s="41" t="s">
        <v>2025</v>
      </c>
      <c r="C283" s="41"/>
      <c r="D283" s="41"/>
      <c r="E283" s="41"/>
      <c r="F283" s="41"/>
      <c r="G283" s="41"/>
      <c r="H283" s="41"/>
      <c r="I283" s="40" t="s">
        <v>2154</v>
      </c>
      <c r="J283" s="28">
        <f>IF(ISNUMBER(SEARCH("x",I283)),1,0)</f>
        <v>1</v>
      </c>
      <c r="K283" s="19"/>
      <c r="M283" s="39"/>
      <c r="N283" s="39"/>
      <c r="O283" s="39"/>
      <c r="P283" s="39"/>
      <c r="Q283" s="39"/>
      <c r="R283" s="39"/>
      <c r="S283" s="39"/>
      <c r="T283" s="39"/>
      <c r="U283" s="39"/>
      <c r="V283" s="39"/>
      <c r="W283" s="39"/>
      <c r="X283" s="39"/>
      <c r="Y283" s="39"/>
      <c r="Z283" s="39"/>
    </row>
    <row r="284" spans="1:26" ht="16" x14ac:dyDescent="0.2">
      <c r="A284" s="34" t="s">
        <v>2</v>
      </c>
      <c r="B284" s="33" t="s">
        <v>4</v>
      </c>
      <c r="C284" s="33"/>
      <c r="D284" s="33"/>
      <c r="E284" s="33"/>
      <c r="F284" s="33"/>
      <c r="G284" s="33"/>
      <c r="H284" s="33"/>
      <c r="J284" s="38">
        <v>0</v>
      </c>
      <c r="K284" s="19"/>
      <c r="M284" s="39"/>
      <c r="N284" s="39"/>
      <c r="O284" s="39"/>
      <c r="P284" s="39"/>
      <c r="Q284" s="39"/>
      <c r="R284" s="39"/>
      <c r="S284" s="39"/>
      <c r="T284" s="39"/>
      <c r="U284" s="39"/>
      <c r="V284" s="39"/>
      <c r="W284" s="39"/>
      <c r="X284" s="39"/>
      <c r="Y284" s="39"/>
      <c r="Z284" s="39"/>
    </row>
    <row r="285" spans="1:26" ht="16" x14ac:dyDescent="0.2">
      <c r="A285" s="34" t="s">
        <v>3</v>
      </c>
      <c r="B285" s="33" t="s">
        <v>41</v>
      </c>
      <c r="C285" s="33"/>
      <c r="D285" s="33"/>
      <c r="E285" s="33"/>
      <c r="F285" s="33"/>
      <c r="G285" s="33"/>
      <c r="H285" s="33"/>
      <c r="J285" s="28">
        <v>0</v>
      </c>
      <c r="K285" s="19"/>
      <c r="M285" s="39"/>
      <c r="N285" s="39"/>
      <c r="O285" s="39"/>
      <c r="P285" s="39"/>
      <c r="Q285" s="39"/>
      <c r="R285" s="39"/>
      <c r="S285" s="39"/>
      <c r="T285" s="39"/>
      <c r="U285" s="39"/>
      <c r="V285" s="39"/>
      <c r="W285" s="39"/>
      <c r="X285" s="39"/>
      <c r="Y285" s="39"/>
      <c r="Z285" s="39"/>
    </row>
    <row r="286" spans="1:26" s="27" customFormat="1" x14ac:dyDescent="0.2"/>
    <row r="287" spans="1:26" x14ac:dyDescent="0.2">
      <c r="A287" s="37" t="s">
        <v>2024</v>
      </c>
      <c r="B287" s="37"/>
      <c r="C287" s="37"/>
      <c r="D287" s="37"/>
      <c r="E287" s="37"/>
      <c r="F287" s="37"/>
      <c r="G287" s="37"/>
      <c r="H287" s="37"/>
      <c r="I287" s="36" t="s">
        <v>1858</v>
      </c>
      <c r="M287" s="43" t="s">
        <v>2191</v>
      </c>
      <c r="N287" s="39"/>
      <c r="O287" s="39"/>
      <c r="P287" s="39"/>
      <c r="Q287" s="39"/>
      <c r="R287" s="39"/>
      <c r="S287" s="39"/>
      <c r="T287" s="39"/>
      <c r="U287" s="39"/>
      <c r="V287" s="39"/>
      <c r="W287" s="39"/>
      <c r="X287" s="39"/>
      <c r="Y287" s="39"/>
      <c r="Z287" s="39"/>
    </row>
    <row r="288" spans="1:26" x14ac:dyDescent="0.2">
      <c r="A288" s="35" t="s">
        <v>2023</v>
      </c>
      <c r="B288" s="35"/>
      <c r="C288" s="35"/>
      <c r="D288" s="35"/>
      <c r="E288" s="35"/>
      <c r="F288" s="35"/>
      <c r="G288" s="35"/>
      <c r="H288" s="35"/>
      <c r="I288" s="35"/>
      <c r="M288" s="39"/>
      <c r="N288" s="39"/>
      <c r="O288" s="39"/>
      <c r="P288" s="39"/>
      <c r="Q288" s="39"/>
      <c r="R288" s="39"/>
      <c r="S288" s="39"/>
      <c r="T288" s="39"/>
      <c r="U288" s="39"/>
      <c r="V288" s="39"/>
      <c r="W288" s="39"/>
      <c r="X288" s="39"/>
      <c r="Y288" s="39"/>
      <c r="Z288" s="39"/>
    </row>
    <row r="289" spans="1:26" x14ac:dyDescent="0.2">
      <c r="A289" s="35"/>
      <c r="B289" s="35"/>
      <c r="C289" s="35"/>
      <c r="D289" s="35"/>
      <c r="E289" s="35"/>
      <c r="F289" s="35"/>
      <c r="G289" s="35"/>
      <c r="H289" s="35"/>
      <c r="I289" s="35"/>
      <c r="M289" s="39"/>
      <c r="N289" s="39"/>
      <c r="O289" s="39"/>
      <c r="P289" s="39"/>
      <c r="Q289" s="39"/>
      <c r="R289" s="39"/>
      <c r="S289" s="39"/>
      <c r="T289" s="39"/>
      <c r="U289" s="39"/>
      <c r="V289" s="39"/>
      <c r="W289" s="39"/>
      <c r="X289" s="39"/>
      <c r="Y289" s="39"/>
      <c r="Z289" s="39"/>
    </row>
    <row r="290" spans="1:26" x14ac:dyDescent="0.2">
      <c r="A290" s="35"/>
      <c r="B290" s="35"/>
      <c r="C290" s="35"/>
      <c r="D290" s="35"/>
      <c r="E290" s="35"/>
      <c r="F290" s="35"/>
      <c r="G290" s="35"/>
      <c r="H290" s="35"/>
      <c r="I290" s="35"/>
      <c r="M290" s="39"/>
      <c r="N290" s="39"/>
      <c r="O290" s="39"/>
      <c r="P290" s="39"/>
      <c r="Q290" s="39"/>
      <c r="R290" s="39"/>
      <c r="S290" s="39"/>
      <c r="T290" s="39"/>
      <c r="U290" s="39"/>
      <c r="V290" s="39"/>
      <c r="W290" s="39"/>
      <c r="X290" s="39"/>
      <c r="Y290" s="39"/>
      <c r="Z290" s="39"/>
    </row>
    <row r="291" spans="1:26" ht="50.5" customHeight="1" x14ac:dyDescent="0.2">
      <c r="A291" s="35"/>
      <c r="B291" s="35"/>
      <c r="C291" s="35"/>
      <c r="D291" s="35"/>
      <c r="E291" s="35"/>
      <c r="F291" s="35"/>
      <c r="G291" s="35"/>
      <c r="H291" s="35"/>
      <c r="I291" s="35"/>
      <c r="M291" s="39"/>
      <c r="N291" s="39"/>
      <c r="O291" s="39"/>
      <c r="P291" s="39"/>
      <c r="Q291" s="39"/>
      <c r="R291" s="39"/>
      <c r="S291" s="39"/>
      <c r="T291" s="39"/>
      <c r="U291" s="39"/>
      <c r="V291" s="39"/>
      <c r="W291" s="39"/>
      <c r="X291" s="39"/>
      <c r="Y291" s="39"/>
      <c r="Z291" s="39"/>
    </row>
    <row r="292" spans="1:26" ht="50.5" customHeight="1" x14ac:dyDescent="0.2">
      <c r="A292" s="34" t="s">
        <v>0</v>
      </c>
      <c r="B292" s="33" t="s">
        <v>2022</v>
      </c>
      <c r="C292" s="33"/>
      <c r="D292" s="33"/>
      <c r="E292" s="33"/>
      <c r="F292" s="33"/>
      <c r="G292" s="33"/>
      <c r="H292" s="33"/>
      <c r="J292" s="28">
        <v>0</v>
      </c>
      <c r="K292" s="19">
        <f>SUM(J292:J295)</f>
        <v>1</v>
      </c>
      <c r="M292" s="39"/>
      <c r="N292" s="39"/>
      <c r="O292" s="39"/>
      <c r="P292" s="39"/>
      <c r="Q292" s="39"/>
      <c r="R292" s="39"/>
      <c r="S292" s="39"/>
      <c r="T292" s="39"/>
      <c r="U292" s="39"/>
      <c r="V292" s="39"/>
      <c r="W292" s="39"/>
      <c r="X292" s="39"/>
      <c r="Y292" s="39"/>
      <c r="Z292" s="39"/>
    </row>
    <row r="293" spans="1:26" ht="16" x14ac:dyDescent="0.2">
      <c r="A293" s="42" t="s">
        <v>1</v>
      </c>
      <c r="B293" s="41" t="s">
        <v>2021</v>
      </c>
      <c r="C293" s="41"/>
      <c r="D293" s="41"/>
      <c r="E293" s="41"/>
      <c r="F293" s="41"/>
      <c r="G293" s="41"/>
      <c r="H293" s="41"/>
      <c r="I293" s="40" t="s">
        <v>2154</v>
      </c>
      <c r="J293" s="28">
        <f>IF(ISNUMBER(SEARCH("x",I293)),1,0)</f>
        <v>1</v>
      </c>
      <c r="K293" s="19"/>
      <c r="M293" s="39"/>
      <c r="N293" s="39"/>
      <c r="O293" s="39"/>
      <c r="P293" s="39"/>
      <c r="Q293" s="39"/>
      <c r="R293" s="39"/>
      <c r="S293" s="39"/>
      <c r="T293" s="39"/>
      <c r="U293" s="39"/>
      <c r="V293" s="39"/>
      <c r="W293" s="39"/>
      <c r="X293" s="39"/>
      <c r="Y293" s="39"/>
      <c r="Z293" s="39"/>
    </row>
    <row r="294" spans="1:26" ht="16" x14ac:dyDescent="0.2">
      <c r="A294" s="34" t="s">
        <v>2</v>
      </c>
      <c r="B294" s="33" t="s">
        <v>2020</v>
      </c>
      <c r="C294" s="33"/>
      <c r="D294" s="33"/>
      <c r="E294" s="33"/>
      <c r="F294" s="33"/>
      <c r="G294" s="33"/>
      <c r="H294" s="33"/>
      <c r="J294" s="38">
        <v>0</v>
      </c>
      <c r="K294" s="19"/>
      <c r="M294" s="39"/>
      <c r="N294" s="39"/>
      <c r="O294" s="39"/>
      <c r="P294" s="39"/>
      <c r="Q294" s="39"/>
      <c r="R294" s="39"/>
      <c r="S294" s="39"/>
      <c r="T294" s="39"/>
      <c r="U294" s="39"/>
      <c r="V294" s="39"/>
      <c r="W294" s="39"/>
      <c r="X294" s="39"/>
      <c r="Y294" s="39"/>
      <c r="Z294" s="39"/>
    </row>
    <row r="295" spans="1:26" ht="16" x14ac:dyDescent="0.2">
      <c r="A295" s="34" t="s">
        <v>3</v>
      </c>
      <c r="B295" s="33" t="s">
        <v>2019</v>
      </c>
      <c r="C295" s="33"/>
      <c r="D295" s="33"/>
      <c r="E295" s="33"/>
      <c r="F295" s="33"/>
      <c r="G295" s="33"/>
      <c r="H295" s="33"/>
      <c r="J295" s="28">
        <v>0</v>
      </c>
      <c r="K295" s="19"/>
      <c r="M295" s="39"/>
      <c r="N295" s="39"/>
      <c r="O295" s="39"/>
      <c r="P295" s="39"/>
      <c r="Q295" s="39"/>
      <c r="R295" s="39"/>
      <c r="S295" s="39"/>
      <c r="T295" s="39"/>
      <c r="U295" s="39"/>
      <c r="V295" s="39"/>
      <c r="W295" s="39"/>
      <c r="X295" s="39"/>
      <c r="Y295" s="39"/>
      <c r="Z295" s="39"/>
    </row>
    <row r="296" spans="1:26" s="27" customFormat="1" x14ac:dyDescent="0.2"/>
    <row r="297" spans="1:26" x14ac:dyDescent="0.2">
      <c r="A297" s="37" t="s">
        <v>2018</v>
      </c>
      <c r="B297" s="37"/>
      <c r="C297" s="37"/>
      <c r="D297" s="37"/>
      <c r="E297" s="37"/>
      <c r="F297" s="37"/>
      <c r="G297" s="37"/>
      <c r="H297" s="37"/>
      <c r="I297" s="36" t="s">
        <v>1858</v>
      </c>
      <c r="M297" s="43" t="s">
        <v>2190</v>
      </c>
      <c r="N297" s="39"/>
      <c r="O297" s="39"/>
      <c r="P297" s="39"/>
      <c r="Q297" s="39"/>
      <c r="R297" s="39"/>
      <c r="S297" s="39"/>
      <c r="T297" s="39"/>
      <c r="U297" s="39"/>
      <c r="V297" s="39"/>
      <c r="W297" s="39"/>
      <c r="X297" s="39"/>
      <c r="Y297" s="39"/>
      <c r="Z297" s="39"/>
    </row>
    <row r="298" spans="1:26" x14ac:dyDescent="0.2">
      <c r="A298" s="35" t="s">
        <v>2017</v>
      </c>
      <c r="B298" s="35"/>
      <c r="C298" s="35"/>
      <c r="D298" s="35"/>
      <c r="E298" s="35"/>
      <c r="F298" s="35"/>
      <c r="G298" s="35"/>
      <c r="H298" s="35"/>
      <c r="I298" s="35"/>
      <c r="M298" s="39"/>
      <c r="N298" s="39"/>
      <c r="O298" s="39"/>
      <c r="P298" s="39"/>
      <c r="Q298" s="39"/>
      <c r="R298" s="39"/>
      <c r="S298" s="39"/>
      <c r="T298" s="39"/>
      <c r="U298" s="39"/>
      <c r="V298" s="39"/>
      <c r="W298" s="39"/>
      <c r="X298" s="39"/>
      <c r="Y298" s="39"/>
      <c r="Z298" s="39"/>
    </row>
    <row r="299" spans="1:26" x14ac:dyDescent="0.2">
      <c r="A299" s="35"/>
      <c r="B299" s="35"/>
      <c r="C299" s="35"/>
      <c r="D299" s="35"/>
      <c r="E299" s="35"/>
      <c r="F299" s="35"/>
      <c r="G299" s="35"/>
      <c r="H299" s="35"/>
      <c r="I299" s="35"/>
      <c r="M299" s="39"/>
      <c r="N299" s="39"/>
      <c r="O299" s="39"/>
      <c r="P299" s="39"/>
      <c r="Q299" s="39"/>
      <c r="R299" s="39"/>
      <c r="S299" s="39"/>
      <c r="T299" s="39"/>
      <c r="U299" s="39"/>
      <c r="V299" s="39"/>
      <c r="W299" s="39"/>
      <c r="X299" s="39"/>
      <c r="Y299" s="39"/>
      <c r="Z299" s="39"/>
    </row>
    <row r="300" spans="1:26" x14ac:dyDescent="0.2">
      <c r="A300" s="35"/>
      <c r="B300" s="35"/>
      <c r="C300" s="35"/>
      <c r="D300" s="35"/>
      <c r="E300" s="35"/>
      <c r="F300" s="35"/>
      <c r="G300" s="35"/>
      <c r="H300" s="35"/>
      <c r="I300" s="35"/>
      <c r="M300" s="39"/>
      <c r="N300" s="39"/>
      <c r="O300" s="39"/>
      <c r="P300" s="39"/>
      <c r="Q300" s="39"/>
      <c r="R300" s="39"/>
      <c r="S300" s="39"/>
      <c r="T300" s="39"/>
      <c r="U300" s="39"/>
      <c r="V300" s="39"/>
      <c r="W300" s="39"/>
      <c r="X300" s="39"/>
      <c r="Y300" s="39"/>
      <c r="Z300" s="39"/>
    </row>
    <row r="301" spans="1:26" x14ac:dyDescent="0.2">
      <c r="A301" s="35"/>
      <c r="B301" s="35"/>
      <c r="C301" s="35"/>
      <c r="D301" s="35"/>
      <c r="E301" s="35"/>
      <c r="F301" s="35"/>
      <c r="G301" s="35"/>
      <c r="H301" s="35"/>
      <c r="I301" s="35"/>
      <c r="M301" s="39"/>
      <c r="N301" s="39"/>
      <c r="O301" s="39"/>
      <c r="P301" s="39"/>
      <c r="Q301" s="39"/>
      <c r="R301" s="39"/>
      <c r="S301" s="39"/>
      <c r="T301" s="39"/>
      <c r="U301" s="39"/>
      <c r="V301" s="39"/>
      <c r="W301" s="39"/>
      <c r="X301" s="39"/>
      <c r="Y301" s="39"/>
      <c r="Z301" s="39"/>
    </row>
    <row r="302" spans="1:26" ht="16" x14ac:dyDescent="0.2">
      <c r="A302" s="34" t="s">
        <v>0</v>
      </c>
      <c r="B302" s="33" t="s">
        <v>1139</v>
      </c>
      <c r="C302" s="33"/>
      <c r="D302" s="33"/>
      <c r="E302" s="33"/>
      <c r="F302" s="33"/>
      <c r="G302" s="33"/>
      <c r="H302" s="33"/>
      <c r="J302" s="28">
        <v>0</v>
      </c>
      <c r="K302" s="19">
        <f>SUM(J302:J305)</f>
        <v>1</v>
      </c>
      <c r="M302" s="39"/>
      <c r="N302" s="39"/>
      <c r="O302" s="39"/>
      <c r="P302" s="39"/>
      <c r="Q302" s="39"/>
      <c r="R302" s="39"/>
      <c r="S302" s="39"/>
      <c r="T302" s="39"/>
      <c r="U302" s="39"/>
      <c r="V302" s="39"/>
      <c r="W302" s="39"/>
      <c r="X302" s="39"/>
      <c r="Y302" s="39"/>
      <c r="Z302" s="39"/>
    </row>
    <row r="303" spans="1:26" ht="16" x14ac:dyDescent="0.2">
      <c r="A303" s="42" t="s">
        <v>1</v>
      </c>
      <c r="B303" s="41" t="s">
        <v>1137</v>
      </c>
      <c r="C303" s="41"/>
      <c r="D303" s="41"/>
      <c r="E303" s="41"/>
      <c r="F303" s="41"/>
      <c r="G303" s="41"/>
      <c r="H303" s="41"/>
      <c r="I303" s="40" t="s">
        <v>2154</v>
      </c>
      <c r="J303" s="28">
        <f>IF(ISNUMBER(SEARCH("x",I303)),1,0)</f>
        <v>1</v>
      </c>
      <c r="K303" s="19"/>
      <c r="M303" s="39"/>
      <c r="N303" s="39"/>
      <c r="O303" s="39"/>
      <c r="P303" s="39"/>
      <c r="Q303" s="39"/>
      <c r="R303" s="39"/>
      <c r="S303" s="39"/>
      <c r="T303" s="39"/>
      <c r="U303" s="39"/>
      <c r="V303" s="39"/>
      <c r="W303" s="39"/>
      <c r="X303" s="39"/>
      <c r="Y303" s="39"/>
      <c r="Z303" s="39"/>
    </row>
    <row r="304" spans="1:26" ht="16" x14ac:dyDescent="0.2">
      <c r="A304" s="34" t="s">
        <v>2</v>
      </c>
      <c r="B304" s="33" t="s">
        <v>1136</v>
      </c>
      <c r="C304" s="33"/>
      <c r="D304" s="33"/>
      <c r="E304" s="33"/>
      <c r="F304" s="33"/>
      <c r="G304" s="33"/>
      <c r="H304" s="33"/>
      <c r="J304" s="38">
        <v>0</v>
      </c>
      <c r="K304" s="19"/>
      <c r="M304" s="39"/>
      <c r="N304" s="39"/>
      <c r="O304" s="39"/>
      <c r="P304" s="39"/>
      <c r="Q304" s="39"/>
      <c r="R304" s="39"/>
      <c r="S304" s="39"/>
      <c r="T304" s="39"/>
      <c r="U304" s="39"/>
      <c r="V304" s="39"/>
      <c r="W304" s="39"/>
      <c r="X304" s="39"/>
      <c r="Y304" s="39"/>
      <c r="Z304" s="39"/>
    </row>
    <row r="305" spans="1:26" ht="16" x14ac:dyDescent="0.2">
      <c r="A305" s="34" t="s">
        <v>3</v>
      </c>
      <c r="B305" s="33" t="s">
        <v>1898</v>
      </c>
      <c r="C305" s="33"/>
      <c r="D305" s="33"/>
      <c r="E305" s="33"/>
      <c r="F305" s="33"/>
      <c r="G305" s="33"/>
      <c r="H305" s="33"/>
      <c r="J305" s="28">
        <v>0</v>
      </c>
      <c r="K305" s="19"/>
      <c r="M305" s="39"/>
      <c r="N305" s="39"/>
      <c r="O305" s="39"/>
      <c r="P305" s="39"/>
      <c r="Q305" s="39"/>
      <c r="R305" s="39"/>
      <c r="S305" s="39"/>
      <c r="T305" s="39"/>
      <c r="U305" s="39"/>
      <c r="V305" s="39"/>
      <c r="W305" s="39"/>
      <c r="X305" s="39"/>
      <c r="Y305" s="39"/>
      <c r="Z305" s="39"/>
    </row>
    <row r="306" spans="1:26" s="27" customFormat="1" x14ac:dyDescent="0.2"/>
    <row r="307" spans="1:26" x14ac:dyDescent="0.2">
      <c r="A307" s="37" t="s">
        <v>2016</v>
      </c>
      <c r="B307" s="37"/>
      <c r="C307" s="37"/>
      <c r="D307" s="37"/>
      <c r="E307" s="37"/>
      <c r="F307" s="37"/>
      <c r="G307" s="37"/>
      <c r="H307" s="37"/>
      <c r="I307" s="36" t="s">
        <v>1858</v>
      </c>
      <c r="M307" s="43" t="s">
        <v>2189</v>
      </c>
      <c r="N307" s="39"/>
      <c r="O307" s="39"/>
      <c r="P307" s="39"/>
      <c r="Q307" s="39"/>
      <c r="R307" s="39"/>
      <c r="S307" s="39"/>
      <c r="T307" s="39"/>
      <c r="U307" s="39"/>
      <c r="V307" s="39"/>
      <c r="W307" s="39"/>
      <c r="X307" s="39"/>
      <c r="Y307" s="39"/>
      <c r="Z307" s="39"/>
    </row>
    <row r="308" spans="1:26" x14ac:dyDescent="0.2">
      <c r="A308" s="35" t="s">
        <v>2015</v>
      </c>
      <c r="B308" s="35"/>
      <c r="C308" s="35"/>
      <c r="D308" s="35"/>
      <c r="E308" s="35"/>
      <c r="F308" s="35"/>
      <c r="G308" s="35"/>
      <c r="H308" s="35"/>
      <c r="I308" s="35"/>
      <c r="M308" s="39"/>
      <c r="N308" s="39"/>
      <c r="O308" s="39"/>
      <c r="P308" s="39"/>
      <c r="Q308" s="39"/>
      <c r="R308" s="39"/>
      <c r="S308" s="39"/>
      <c r="T308" s="39"/>
      <c r="U308" s="39"/>
      <c r="V308" s="39"/>
      <c r="W308" s="39"/>
      <c r="X308" s="39"/>
      <c r="Y308" s="39"/>
      <c r="Z308" s="39"/>
    </row>
    <row r="309" spans="1:26" x14ac:dyDescent="0.2">
      <c r="A309" s="35"/>
      <c r="B309" s="35"/>
      <c r="C309" s="35"/>
      <c r="D309" s="35"/>
      <c r="E309" s="35"/>
      <c r="F309" s="35"/>
      <c r="G309" s="35"/>
      <c r="H309" s="35"/>
      <c r="I309" s="35"/>
      <c r="M309" s="39"/>
      <c r="N309" s="39"/>
      <c r="O309" s="39"/>
      <c r="P309" s="39"/>
      <c r="Q309" s="39"/>
      <c r="R309" s="39"/>
      <c r="S309" s="39"/>
      <c r="T309" s="39"/>
      <c r="U309" s="39"/>
      <c r="V309" s="39"/>
      <c r="W309" s="39"/>
      <c r="X309" s="39"/>
      <c r="Y309" s="39"/>
      <c r="Z309" s="39"/>
    </row>
    <row r="310" spans="1:26" x14ac:dyDescent="0.2">
      <c r="A310" s="35"/>
      <c r="B310" s="35"/>
      <c r="C310" s="35"/>
      <c r="D310" s="35"/>
      <c r="E310" s="35"/>
      <c r="F310" s="35"/>
      <c r="G310" s="35"/>
      <c r="H310" s="35"/>
      <c r="I310" s="35"/>
      <c r="M310" s="39"/>
      <c r="N310" s="39"/>
      <c r="O310" s="39"/>
      <c r="P310" s="39"/>
      <c r="Q310" s="39"/>
      <c r="R310" s="39"/>
      <c r="S310" s="39"/>
      <c r="T310" s="39"/>
      <c r="U310" s="39"/>
      <c r="V310" s="39"/>
      <c r="W310" s="39"/>
      <c r="X310" s="39"/>
      <c r="Y310" s="39"/>
      <c r="Z310" s="39"/>
    </row>
    <row r="311" spans="1:26" ht="36.5" customHeight="1" x14ac:dyDescent="0.2">
      <c r="A311" s="35"/>
      <c r="B311" s="35"/>
      <c r="C311" s="35"/>
      <c r="D311" s="35"/>
      <c r="E311" s="35"/>
      <c r="F311" s="35"/>
      <c r="G311" s="35"/>
      <c r="H311" s="35"/>
      <c r="I311" s="35"/>
      <c r="M311" s="39"/>
      <c r="N311" s="39"/>
      <c r="O311" s="39"/>
      <c r="P311" s="39"/>
      <c r="Q311" s="39"/>
      <c r="R311" s="39"/>
      <c r="S311" s="39"/>
      <c r="T311" s="39"/>
      <c r="U311" s="39"/>
      <c r="V311" s="39"/>
      <c r="W311" s="39"/>
      <c r="X311" s="39"/>
      <c r="Y311" s="39"/>
      <c r="Z311" s="39"/>
    </row>
    <row r="312" spans="1:26" ht="16" x14ac:dyDescent="0.2">
      <c r="A312" s="34" t="s">
        <v>0</v>
      </c>
      <c r="B312" s="33" t="s">
        <v>2014</v>
      </c>
      <c r="C312" s="33"/>
      <c r="D312" s="33"/>
      <c r="E312" s="33"/>
      <c r="F312" s="33"/>
      <c r="G312" s="33"/>
      <c r="H312" s="33"/>
      <c r="J312" s="28">
        <v>0</v>
      </c>
      <c r="K312" s="19">
        <f>SUM(J312:J315)</f>
        <v>1</v>
      </c>
      <c r="M312" s="39"/>
      <c r="N312" s="39"/>
      <c r="O312" s="39"/>
      <c r="P312" s="39"/>
      <c r="Q312" s="39"/>
      <c r="R312" s="39"/>
      <c r="S312" s="39"/>
      <c r="T312" s="39"/>
      <c r="U312" s="39"/>
      <c r="V312" s="39"/>
      <c r="W312" s="39"/>
      <c r="X312" s="39"/>
      <c r="Y312" s="39"/>
      <c r="Z312" s="39"/>
    </row>
    <row r="313" spans="1:26" ht="16" x14ac:dyDescent="0.2">
      <c r="A313" s="34" t="s">
        <v>1</v>
      </c>
      <c r="B313" s="33" t="s">
        <v>1137</v>
      </c>
      <c r="C313" s="33"/>
      <c r="D313" s="33"/>
      <c r="E313" s="33"/>
      <c r="F313" s="33"/>
      <c r="G313" s="33"/>
      <c r="H313" s="33"/>
      <c r="J313" s="28">
        <v>0</v>
      </c>
      <c r="K313" s="19"/>
      <c r="M313" s="39"/>
      <c r="N313" s="39"/>
      <c r="O313" s="39"/>
      <c r="P313" s="39"/>
      <c r="Q313" s="39"/>
      <c r="R313" s="39"/>
      <c r="S313" s="39"/>
      <c r="T313" s="39"/>
      <c r="U313" s="39"/>
      <c r="V313" s="39"/>
      <c r="W313" s="39"/>
      <c r="X313" s="39"/>
      <c r="Y313" s="39"/>
      <c r="Z313" s="39"/>
    </row>
    <row r="314" spans="1:26" ht="16" x14ac:dyDescent="0.2">
      <c r="A314" s="34" t="s">
        <v>2</v>
      </c>
      <c r="B314" s="33" t="s">
        <v>2013</v>
      </c>
      <c r="C314" s="33"/>
      <c r="D314" s="33"/>
      <c r="E314" s="33"/>
      <c r="F314" s="33"/>
      <c r="G314" s="33"/>
      <c r="H314" s="33"/>
      <c r="J314" s="28">
        <v>0</v>
      </c>
      <c r="K314" s="19"/>
      <c r="M314" s="39"/>
      <c r="N314" s="39"/>
      <c r="O314" s="39"/>
      <c r="P314" s="39"/>
      <c r="Q314" s="39"/>
      <c r="R314" s="39"/>
      <c r="S314" s="39"/>
      <c r="T314" s="39"/>
      <c r="U314" s="39"/>
      <c r="V314" s="39"/>
      <c r="W314" s="39"/>
      <c r="X314" s="39"/>
      <c r="Y314" s="39"/>
      <c r="Z314" s="39"/>
    </row>
    <row r="315" spans="1:26" ht="16" x14ac:dyDescent="0.2">
      <c r="A315" s="42" t="s">
        <v>3</v>
      </c>
      <c r="B315" s="41" t="s">
        <v>1139</v>
      </c>
      <c r="C315" s="41"/>
      <c r="D315" s="41"/>
      <c r="E315" s="41"/>
      <c r="F315" s="41"/>
      <c r="G315" s="41"/>
      <c r="H315" s="41"/>
      <c r="I315" s="40" t="s">
        <v>2154</v>
      </c>
      <c r="J315" s="28">
        <f>IF(ISNUMBER(SEARCH("x",I315)),1,0)</f>
        <v>1</v>
      </c>
      <c r="K315" s="19"/>
      <c r="M315" s="39"/>
      <c r="N315" s="39"/>
      <c r="O315" s="39"/>
      <c r="P315" s="39"/>
      <c r="Q315" s="39"/>
      <c r="R315" s="39"/>
      <c r="S315" s="39"/>
      <c r="T315" s="39"/>
      <c r="U315" s="39"/>
      <c r="V315" s="39"/>
      <c r="W315" s="39"/>
      <c r="X315" s="39"/>
      <c r="Y315" s="39"/>
      <c r="Z315" s="39"/>
    </row>
    <row r="316" spans="1:26" s="27" customFormat="1" x14ac:dyDescent="0.2"/>
    <row r="317" spans="1:26" x14ac:dyDescent="0.2">
      <c r="A317" s="37" t="s">
        <v>2012</v>
      </c>
      <c r="B317" s="37"/>
      <c r="C317" s="37"/>
      <c r="D317" s="37"/>
      <c r="E317" s="37"/>
      <c r="F317" s="37"/>
      <c r="G317" s="37"/>
      <c r="H317" s="37"/>
      <c r="I317" s="36" t="s">
        <v>1858</v>
      </c>
      <c r="M317" s="43" t="s">
        <v>2188</v>
      </c>
      <c r="N317" s="39"/>
      <c r="O317" s="39"/>
      <c r="P317" s="39"/>
      <c r="Q317" s="39"/>
      <c r="R317" s="39"/>
      <c r="S317" s="39"/>
      <c r="T317" s="39"/>
      <c r="U317" s="39"/>
      <c r="V317" s="39"/>
      <c r="W317" s="39"/>
      <c r="X317" s="39"/>
      <c r="Y317" s="39"/>
      <c r="Z317" s="39"/>
    </row>
    <row r="318" spans="1:26" x14ac:dyDescent="0.2">
      <c r="A318" s="35" t="s">
        <v>2011</v>
      </c>
      <c r="B318" s="35"/>
      <c r="C318" s="35"/>
      <c r="D318" s="35"/>
      <c r="E318" s="35"/>
      <c r="F318" s="35"/>
      <c r="G318" s="35"/>
      <c r="H318" s="35"/>
      <c r="I318" s="35"/>
      <c r="M318" s="39"/>
      <c r="N318" s="39"/>
      <c r="O318" s="39"/>
      <c r="P318" s="39"/>
      <c r="Q318" s="39"/>
      <c r="R318" s="39"/>
      <c r="S318" s="39"/>
      <c r="T318" s="39"/>
      <c r="U318" s="39"/>
      <c r="V318" s="39"/>
      <c r="W318" s="39"/>
      <c r="X318" s="39"/>
      <c r="Y318" s="39"/>
      <c r="Z318" s="39"/>
    </row>
    <row r="319" spans="1:26" x14ac:dyDescent="0.2">
      <c r="A319" s="35"/>
      <c r="B319" s="35"/>
      <c r="C319" s="35"/>
      <c r="D319" s="35"/>
      <c r="E319" s="35"/>
      <c r="F319" s="35"/>
      <c r="G319" s="35"/>
      <c r="H319" s="35"/>
      <c r="I319" s="35"/>
      <c r="M319" s="39"/>
      <c r="N319" s="39"/>
      <c r="O319" s="39"/>
      <c r="P319" s="39"/>
      <c r="Q319" s="39"/>
      <c r="R319" s="39"/>
      <c r="S319" s="39"/>
      <c r="T319" s="39"/>
      <c r="U319" s="39"/>
      <c r="V319" s="39"/>
      <c r="W319" s="39"/>
      <c r="X319" s="39"/>
      <c r="Y319" s="39"/>
      <c r="Z319" s="39"/>
    </row>
    <row r="320" spans="1:26" ht="196.25" customHeight="1" x14ac:dyDescent="0.2">
      <c r="A320" s="35"/>
      <c r="B320" s="35"/>
      <c r="C320" s="35"/>
      <c r="D320" s="35"/>
      <c r="E320" s="35"/>
      <c r="F320" s="35"/>
      <c r="G320" s="35"/>
      <c r="H320" s="35"/>
      <c r="I320" s="35"/>
      <c r="M320" s="39"/>
      <c r="N320" s="39"/>
      <c r="O320" s="39"/>
      <c r="P320" s="39"/>
      <c r="Q320" s="39"/>
      <c r="R320" s="39"/>
      <c r="S320" s="39"/>
      <c r="T320" s="39"/>
      <c r="U320" s="39"/>
      <c r="V320" s="39"/>
      <c r="W320" s="39"/>
      <c r="X320" s="39"/>
      <c r="Y320" s="39"/>
      <c r="Z320" s="39"/>
    </row>
    <row r="321" spans="1:26" ht="79.25" customHeight="1" x14ac:dyDescent="0.2">
      <c r="A321" s="35"/>
      <c r="B321" s="35"/>
      <c r="C321" s="35"/>
      <c r="D321" s="35"/>
      <c r="E321" s="35"/>
      <c r="F321" s="35"/>
      <c r="G321" s="35"/>
      <c r="H321" s="35"/>
      <c r="I321" s="35"/>
      <c r="M321" s="39"/>
      <c r="N321" s="39"/>
      <c r="O321" s="39"/>
      <c r="P321" s="39"/>
      <c r="Q321" s="39"/>
      <c r="R321" s="39"/>
      <c r="S321" s="39"/>
      <c r="T321" s="39"/>
      <c r="U321" s="39"/>
      <c r="V321" s="39"/>
      <c r="W321" s="39"/>
      <c r="X321" s="39"/>
      <c r="Y321" s="39"/>
      <c r="Z321" s="39"/>
    </row>
    <row r="322" spans="1:26" ht="28.75" customHeight="1" x14ac:dyDescent="0.2">
      <c r="A322" s="42" t="s">
        <v>0</v>
      </c>
      <c r="B322" s="41" t="s">
        <v>2010</v>
      </c>
      <c r="C322" s="41"/>
      <c r="D322" s="41"/>
      <c r="E322" s="41"/>
      <c r="F322" s="41"/>
      <c r="G322" s="41"/>
      <c r="H322" s="41"/>
      <c r="I322" s="40" t="s">
        <v>2154</v>
      </c>
      <c r="J322" s="28">
        <f>IF(ISNUMBER(SEARCH("x",I322)),1,0)</f>
        <v>1</v>
      </c>
      <c r="K322" s="19">
        <f>SUM(J322:J325)</f>
        <v>1</v>
      </c>
      <c r="M322" s="39"/>
      <c r="N322" s="39"/>
      <c r="O322" s="39"/>
      <c r="P322" s="39"/>
      <c r="Q322" s="39"/>
      <c r="R322" s="39"/>
      <c r="S322" s="39"/>
      <c r="T322" s="39"/>
      <c r="U322" s="39"/>
      <c r="V322" s="39"/>
      <c r="W322" s="39"/>
      <c r="X322" s="39"/>
      <c r="Y322" s="39"/>
      <c r="Z322" s="39"/>
    </row>
    <row r="323" spans="1:26" ht="16" x14ac:dyDescent="0.2">
      <c r="A323" s="34" t="s">
        <v>1</v>
      </c>
      <c r="B323" s="33" t="s">
        <v>2009</v>
      </c>
      <c r="C323" s="33"/>
      <c r="D323" s="33"/>
      <c r="E323" s="33"/>
      <c r="F323" s="33"/>
      <c r="G323" s="33"/>
      <c r="H323" s="33"/>
      <c r="J323" s="28">
        <v>0</v>
      </c>
      <c r="K323" s="19"/>
      <c r="M323" s="39"/>
      <c r="N323" s="39"/>
      <c r="O323" s="39"/>
      <c r="P323" s="39"/>
      <c r="Q323" s="39"/>
      <c r="R323" s="39"/>
      <c r="S323" s="39"/>
      <c r="T323" s="39"/>
      <c r="U323" s="39"/>
      <c r="V323" s="39"/>
      <c r="W323" s="39"/>
      <c r="X323" s="39"/>
      <c r="Y323" s="39"/>
      <c r="Z323" s="39"/>
    </row>
    <row r="324" spans="1:26" ht="28.75" customHeight="1" x14ac:dyDescent="0.2">
      <c r="A324" s="34" t="s">
        <v>2</v>
      </c>
      <c r="B324" s="33" t="s">
        <v>2008</v>
      </c>
      <c r="C324" s="33"/>
      <c r="D324" s="33"/>
      <c r="E324" s="33"/>
      <c r="F324" s="33"/>
      <c r="G324" s="33"/>
      <c r="H324" s="33"/>
      <c r="J324" s="38">
        <v>0</v>
      </c>
      <c r="K324" s="19"/>
      <c r="M324" s="39"/>
      <c r="N324" s="39"/>
      <c r="O324" s="39"/>
      <c r="P324" s="39"/>
      <c r="Q324" s="39"/>
      <c r="R324" s="39"/>
      <c r="S324" s="39"/>
      <c r="T324" s="39"/>
      <c r="U324" s="39"/>
      <c r="V324" s="39"/>
      <c r="W324" s="39"/>
      <c r="X324" s="39"/>
      <c r="Y324" s="39"/>
      <c r="Z324" s="39"/>
    </row>
    <row r="325" spans="1:26" ht="28.75" customHeight="1" x14ac:dyDescent="0.2">
      <c r="A325" s="34" t="s">
        <v>3</v>
      </c>
      <c r="B325" s="33" t="s">
        <v>2007</v>
      </c>
      <c r="C325" s="33"/>
      <c r="D325" s="33"/>
      <c r="E325" s="33"/>
      <c r="F325" s="33"/>
      <c r="G325" s="33"/>
      <c r="H325" s="33"/>
      <c r="J325" s="38">
        <v>0</v>
      </c>
      <c r="K325" s="19"/>
      <c r="M325" s="39"/>
      <c r="N325" s="39"/>
      <c r="O325" s="39"/>
      <c r="P325" s="39"/>
      <c r="Q325" s="39"/>
      <c r="R325" s="39"/>
      <c r="S325" s="39"/>
      <c r="T325" s="39"/>
      <c r="U325" s="39"/>
      <c r="V325" s="39"/>
      <c r="W325" s="39"/>
      <c r="X325" s="39"/>
      <c r="Y325" s="39"/>
      <c r="Z325" s="39"/>
    </row>
    <row r="326" spans="1:26" s="27" customFormat="1" x14ac:dyDescent="0.2"/>
    <row r="327" spans="1:26" x14ac:dyDescent="0.2">
      <c r="A327" s="37" t="s">
        <v>2006</v>
      </c>
      <c r="B327" s="37"/>
      <c r="C327" s="37"/>
      <c r="D327" s="37"/>
      <c r="E327" s="37"/>
      <c r="F327" s="37"/>
      <c r="G327" s="37"/>
      <c r="H327" s="37"/>
      <c r="I327" s="36" t="s">
        <v>1858</v>
      </c>
      <c r="M327" s="43" t="s">
        <v>2187</v>
      </c>
      <c r="N327" s="39"/>
      <c r="O327" s="39"/>
      <c r="P327" s="39"/>
      <c r="Q327" s="39"/>
      <c r="R327" s="39"/>
      <c r="S327" s="39"/>
      <c r="T327" s="39"/>
      <c r="U327" s="39"/>
      <c r="V327" s="39"/>
      <c r="W327" s="39"/>
      <c r="X327" s="39"/>
      <c r="Y327" s="39"/>
      <c r="Z327" s="39"/>
    </row>
    <row r="328" spans="1:26" x14ac:dyDescent="0.2">
      <c r="A328" s="35" t="s">
        <v>2005</v>
      </c>
      <c r="B328" s="35"/>
      <c r="C328" s="35"/>
      <c r="D328" s="35"/>
      <c r="E328" s="35"/>
      <c r="F328" s="35"/>
      <c r="G328" s="35"/>
      <c r="H328" s="35"/>
      <c r="I328" s="35"/>
      <c r="M328" s="39"/>
      <c r="N328" s="39"/>
      <c r="O328" s="39"/>
      <c r="P328" s="39"/>
      <c r="Q328" s="39"/>
      <c r="R328" s="39"/>
      <c r="S328" s="39"/>
      <c r="T328" s="39"/>
      <c r="U328" s="39"/>
      <c r="V328" s="39"/>
      <c r="W328" s="39"/>
      <c r="X328" s="39"/>
      <c r="Y328" s="39"/>
      <c r="Z328" s="39"/>
    </row>
    <row r="329" spans="1:26" x14ac:dyDescent="0.2">
      <c r="A329" s="35"/>
      <c r="B329" s="35"/>
      <c r="C329" s="35"/>
      <c r="D329" s="35"/>
      <c r="E329" s="35"/>
      <c r="F329" s="35"/>
      <c r="G329" s="35"/>
      <c r="H329" s="35"/>
      <c r="I329" s="35"/>
      <c r="M329" s="39"/>
      <c r="N329" s="39"/>
      <c r="O329" s="39"/>
      <c r="P329" s="39"/>
      <c r="Q329" s="39"/>
      <c r="R329" s="39"/>
      <c r="S329" s="39"/>
      <c r="T329" s="39"/>
      <c r="U329" s="39"/>
      <c r="V329" s="39"/>
      <c r="W329" s="39"/>
      <c r="X329" s="39"/>
      <c r="Y329" s="39"/>
      <c r="Z329" s="39"/>
    </row>
    <row r="330" spans="1:26" x14ac:dyDescent="0.2">
      <c r="A330" s="35"/>
      <c r="B330" s="35"/>
      <c r="C330" s="35"/>
      <c r="D330" s="35"/>
      <c r="E330" s="35"/>
      <c r="F330" s="35"/>
      <c r="G330" s="35"/>
      <c r="H330" s="35"/>
      <c r="I330" s="35"/>
      <c r="M330" s="39"/>
      <c r="N330" s="39"/>
      <c r="O330" s="39"/>
      <c r="P330" s="39"/>
      <c r="Q330" s="39"/>
      <c r="R330" s="39"/>
      <c r="S330" s="39"/>
      <c r="T330" s="39"/>
      <c r="U330" s="39"/>
      <c r="V330" s="39"/>
      <c r="W330" s="39"/>
      <c r="X330" s="39"/>
      <c r="Y330" s="39"/>
      <c r="Z330" s="39"/>
    </row>
    <row r="331" spans="1:26" x14ac:dyDescent="0.2">
      <c r="A331" s="35"/>
      <c r="B331" s="35"/>
      <c r="C331" s="35"/>
      <c r="D331" s="35"/>
      <c r="E331" s="35"/>
      <c r="F331" s="35"/>
      <c r="G331" s="35"/>
      <c r="H331" s="35"/>
      <c r="I331" s="35"/>
      <c r="M331" s="39"/>
      <c r="N331" s="39"/>
      <c r="O331" s="39"/>
      <c r="P331" s="39"/>
      <c r="Q331" s="39"/>
      <c r="R331" s="39"/>
      <c r="S331" s="39"/>
      <c r="T331" s="39"/>
      <c r="U331" s="39"/>
      <c r="V331" s="39"/>
      <c r="W331" s="39"/>
      <c r="X331" s="39"/>
      <c r="Y331" s="39"/>
      <c r="Z331" s="39"/>
    </row>
    <row r="332" spans="1:26" ht="16" x14ac:dyDescent="0.2">
      <c r="A332" s="42" t="s">
        <v>0</v>
      </c>
      <c r="B332" s="41" t="s">
        <v>2004</v>
      </c>
      <c r="C332" s="41"/>
      <c r="D332" s="41"/>
      <c r="E332" s="41"/>
      <c r="F332" s="41"/>
      <c r="G332" s="41"/>
      <c r="H332" s="41"/>
      <c r="I332" s="40" t="s">
        <v>2154</v>
      </c>
      <c r="J332" s="28">
        <f>IF(ISNUMBER(SEARCH("x",I332)),1,0)</f>
        <v>1</v>
      </c>
      <c r="K332" s="19">
        <f>SUM(J332:J335)</f>
        <v>1</v>
      </c>
      <c r="M332" s="39"/>
      <c r="N332" s="39"/>
      <c r="O332" s="39"/>
      <c r="P332" s="39"/>
      <c r="Q332" s="39"/>
      <c r="R332" s="39"/>
      <c r="S332" s="39"/>
      <c r="T332" s="39"/>
      <c r="U332" s="39"/>
      <c r="V332" s="39"/>
      <c r="W332" s="39"/>
      <c r="X332" s="39"/>
      <c r="Y332" s="39"/>
      <c r="Z332" s="39"/>
    </row>
    <row r="333" spans="1:26" ht="16" x14ac:dyDescent="0.2">
      <c r="A333" s="34" t="s">
        <v>1</v>
      </c>
      <c r="B333" s="33" t="s">
        <v>2003</v>
      </c>
      <c r="C333" s="33"/>
      <c r="D333" s="33"/>
      <c r="E333" s="33"/>
      <c r="F333" s="33"/>
      <c r="G333" s="33"/>
      <c r="H333" s="33"/>
      <c r="J333" s="38">
        <v>0</v>
      </c>
      <c r="K333" s="19"/>
      <c r="M333" s="39"/>
      <c r="N333" s="39"/>
      <c r="O333" s="39"/>
      <c r="P333" s="39"/>
      <c r="Q333" s="39"/>
      <c r="R333" s="39"/>
      <c r="S333" s="39"/>
      <c r="T333" s="39"/>
      <c r="U333" s="39"/>
      <c r="V333" s="39"/>
      <c r="W333" s="39"/>
      <c r="X333" s="39"/>
      <c r="Y333" s="39"/>
      <c r="Z333" s="39"/>
    </row>
    <row r="334" spans="1:26" ht="16" x14ac:dyDescent="0.2">
      <c r="A334" s="34" t="s">
        <v>2</v>
      </c>
      <c r="B334" s="33" t="s">
        <v>2002</v>
      </c>
      <c r="C334" s="33"/>
      <c r="D334" s="33"/>
      <c r="E334" s="33"/>
      <c r="F334" s="33"/>
      <c r="G334" s="33"/>
      <c r="H334" s="33"/>
      <c r="J334" s="38">
        <v>0</v>
      </c>
      <c r="K334" s="19"/>
      <c r="M334" s="39"/>
      <c r="N334" s="39"/>
      <c r="O334" s="39"/>
      <c r="P334" s="39"/>
      <c r="Q334" s="39"/>
      <c r="R334" s="39"/>
      <c r="S334" s="39"/>
      <c r="T334" s="39"/>
      <c r="U334" s="39"/>
      <c r="V334" s="39"/>
      <c r="W334" s="39"/>
      <c r="X334" s="39"/>
      <c r="Y334" s="39"/>
      <c r="Z334" s="39"/>
    </row>
    <row r="335" spans="1:26" ht="16" x14ac:dyDescent="0.2">
      <c r="A335" s="34" t="s">
        <v>3</v>
      </c>
      <c r="B335" s="33" t="s">
        <v>2001</v>
      </c>
      <c r="C335" s="33"/>
      <c r="D335" s="33"/>
      <c r="E335" s="33"/>
      <c r="F335" s="33"/>
      <c r="G335" s="33"/>
      <c r="H335" s="33"/>
      <c r="J335" s="38">
        <v>0</v>
      </c>
      <c r="K335" s="19"/>
      <c r="M335" s="39"/>
      <c r="N335" s="39"/>
      <c r="O335" s="39"/>
      <c r="P335" s="39"/>
      <c r="Q335" s="39"/>
      <c r="R335" s="39"/>
      <c r="S335" s="39"/>
      <c r="T335" s="39"/>
      <c r="U335" s="39"/>
      <c r="V335" s="39"/>
      <c r="W335" s="39"/>
      <c r="X335" s="39"/>
      <c r="Y335" s="39"/>
      <c r="Z335" s="39"/>
    </row>
    <row r="336" spans="1:26" s="27" customFormat="1" x14ac:dyDescent="0.2"/>
    <row r="337" spans="1:26" x14ac:dyDescent="0.2">
      <c r="A337" s="37" t="s">
        <v>2000</v>
      </c>
      <c r="B337" s="37"/>
      <c r="C337" s="37"/>
      <c r="D337" s="37"/>
      <c r="E337" s="37"/>
      <c r="F337" s="37"/>
      <c r="G337" s="37"/>
      <c r="H337" s="37"/>
      <c r="I337" s="36" t="s">
        <v>1858</v>
      </c>
      <c r="M337" s="43" t="s">
        <v>2186</v>
      </c>
      <c r="N337" s="39"/>
      <c r="O337" s="39"/>
      <c r="P337" s="39"/>
      <c r="Q337" s="39"/>
      <c r="R337" s="39"/>
      <c r="S337" s="39"/>
      <c r="T337" s="39"/>
      <c r="U337" s="39"/>
      <c r="V337" s="39"/>
      <c r="W337" s="39"/>
      <c r="X337" s="39"/>
      <c r="Y337" s="39"/>
      <c r="Z337" s="39"/>
    </row>
    <row r="338" spans="1:26" x14ac:dyDescent="0.2">
      <c r="A338" s="35" t="s">
        <v>1999</v>
      </c>
      <c r="B338" s="35"/>
      <c r="C338" s="35"/>
      <c r="D338" s="35"/>
      <c r="E338" s="35"/>
      <c r="F338" s="35"/>
      <c r="G338" s="35"/>
      <c r="H338" s="35"/>
      <c r="I338" s="35"/>
      <c r="M338" s="39"/>
      <c r="N338" s="39"/>
      <c r="O338" s="39"/>
      <c r="P338" s="39"/>
      <c r="Q338" s="39"/>
      <c r="R338" s="39"/>
      <c r="S338" s="39"/>
      <c r="T338" s="39"/>
      <c r="U338" s="39"/>
      <c r="V338" s="39"/>
      <c r="W338" s="39"/>
      <c r="X338" s="39"/>
      <c r="Y338" s="39"/>
      <c r="Z338" s="39"/>
    </row>
    <row r="339" spans="1:26" x14ac:dyDescent="0.2">
      <c r="A339" s="35"/>
      <c r="B339" s="35"/>
      <c r="C339" s="35"/>
      <c r="D339" s="35"/>
      <c r="E339" s="35"/>
      <c r="F339" s="35"/>
      <c r="G339" s="35"/>
      <c r="H339" s="35"/>
      <c r="I339" s="35"/>
      <c r="M339" s="39"/>
      <c r="N339" s="39"/>
      <c r="O339" s="39"/>
      <c r="P339" s="39"/>
      <c r="Q339" s="39"/>
      <c r="R339" s="39"/>
      <c r="S339" s="39"/>
      <c r="T339" s="39"/>
      <c r="U339" s="39"/>
      <c r="V339" s="39"/>
      <c r="W339" s="39"/>
      <c r="X339" s="39"/>
      <c r="Y339" s="39"/>
      <c r="Z339" s="39"/>
    </row>
    <row r="340" spans="1:26" x14ac:dyDescent="0.2">
      <c r="A340" s="35"/>
      <c r="B340" s="35"/>
      <c r="C340" s="35"/>
      <c r="D340" s="35"/>
      <c r="E340" s="35"/>
      <c r="F340" s="35"/>
      <c r="G340" s="35"/>
      <c r="H340" s="35"/>
      <c r="I340" s="35"/>
      <c r="M340" s="39"/>
      <c r="N340" s="39"/>
      <c r="O340" s="39"/>
      <c r="P340" s="39"/>
      <c r="Q340" s="39"/>
      <c r="R340" s="39"/>
      <c r="S340" s="39"/>
      <c r="T340" s="39"/>
      <c r="U340" s="39"/>
      <c r="V340" s="39"/>
      <c r="W340" s="39"/>
      <c r="X340" s="39"/>
      <c r="Y340" s="39"/>
      <c r="Z340" s="39"/>
    </row>
    <row r="341" spans="1:26" ht="48" customHeight="1" x14ac:dyDescent="0.2">
      <c r="A341" s="35"/>
      <c r="B341" s="35"/>
      <c r="C341" s="35"/>
      <c r="D341" s="35"/>
      <c r="E341" s="35"/>
      <c r="F341" s="35"/>
      <c r="G341" s="35"/>
      <c r="H341" s="35"/>
      <c r="I341" s="35"/>
      <c r="M341" s="39"/>
      <c r="N341" s="39"/>
      <c r="O341" s="39"/>
      <c r="P341" s="39"/>
      <c r="Q341" s="39"/>
      <c r="R341" s="39"/>
      <c r="S341" s="39"/>
      <c r="T341" s="39"/>
      <c r="U341" s="39"/>
      <c r="V341" s="39"/>
      <c r="W341" s="39"/>
      <c r="X341" s="39"/>
      <c r="Y341" s="39"/>
      <c r="Z341" s="39"/>
    </row>
    <row r="342" spans="1:26" ht="16" x14ac:dyDescent="0.2">
      <c r="A342" s="34" t="s">
        <v>0</v>
      </c>
      <c r="B342" s="33" t="s">
        <v>1998</v>
      </c>
      <c r="C342" s="33"/>
      <c r="D342" s="33"/>
      <c r="E342" s="33"/>
      <c r="F342" s="33"/>
      <c r="G342" s="33"/>
      <c r="H342" s="33"/>
      <c r="J342" s="28">
        <v>0</v>
      </c>
      <c r="K342" s="19">
        <f>SUM(J342:J345)</f>
        <v>1</v>
      </c>
      <c r="M342" s="39"/>
      <c r="N342" s="39"/>
      <c r="O342" s="39"/>
      <c r="P342" s="39"/>
      <c r="Q342" s="39"/>
      <c r="R342" s="39"/>
      <c r="S342" s="39"/>
      <c r="T342" s="39"/>
      <c r="U342" s="39"/>
      <c r="V342" s="39"/>
      <c r="W342" s="39"/>
      <c r="X342" s="39"/>
      <c r="Y342" s="39"/>
      <c r="Z342" s="39"/>
    </row>
    <row r="343" spans="1:26" ht="16" x14ac:dyDescent="0.2">
      <c r="A343" s="34" t="s">
        <v>1</v>
      </c>
      <c r="B343" s="33" t="s">
        <v>1997</v>
      </c>
      <c r="C343" s="33"/>
      <c r="D343" s="33"/>
      <c r="E343" s="33"/>
      <c r="F343" s="33"/>
      <c r="G343" s="33"/>
      <c r="H343" s="33"/>
      <c r="J343" s="28">
        <v>0</v>
      </c>
      <c r="K343" s="19"/>
      <c r="M343" s="39"/>
      <c r="N343" s="39"/>
      <c r="O343" s="39"/>
      <c r="P343" s="39"/>
      <c r="Q343" s="39"/>
      <c r="R343" s="39"/>
      <c r="S343" s="39"/>
      <c r="T343" s="39"/>
      <c r="U343" s="39"/>
      <c r="V343" s="39"/>
      <c r="W343" s="39"/>
      <c r="X343" s="39"/>
      <c r="Y343" s="39"/>
      <c r="Z343" s="39"/>
    </row>
    <row r="344" spans="1:26" ht="16" x14ac:dyDescent="0.2">
      <c r="A344" s="42" t="s">
        <v>2</v>
      </c>
      <c r="B344" s="41" t="s">
        <v>1996</v>
      </c>
      <c r="C344" s="41"/>
      <c r="D344" s="41"/>
      <c r="E344" s="41"/>
      <c r="F344" s="41"/>
      <c r="G344" s="41"/>
      <c r="H344" s="41"/>
      <c r="I344" s="40" t="s">
        <v>2154</v>
      </c>
      <c r="J344" s="28">
        <f>IF(ISNUMBER(SEARCH("x",I344)),1,0)</f>
        <v>1</v>
      </c>
      <c r="K344" s="19"/>
      <c r="M344" s="39"/>
      <c r="N344" s="39"/>
      <c r="O344" s="39"/>
      <c r="P344" s="39"/>
      <c r="Q344" s="39"/>
      <c r="R344" s="39"/>
      <c r="S344" s="39"/>
      <c r="T344" s="39"/>
      <c r="U344" s="39"/>
      <c r="V344" s="39"/>
      <c r="W344" s="39"/>
      <c r="X344" s="39"/>
      <c r="Y344" s="39"/>
      <c r="Z344" s="39"/>
    </row>
    <row r="345" spans="1:26" ht="16" x14ac:dyDescent="0.2">
      <c r="A345" s="34" t="s">
        <v>3</v>
      </c>
      <c r="B345" s="33" t="s">
        <v>1995</v>
      </c>
      <c r="C345" s="33"/>
      <c r="D345" s="33"/>
      <c r="E345" s="33"/>
      <c r="F345" s="33"/>
      <c r="G345" s="33"/>
      <c r="H345" s="33"/>
      <c r="J345" s="28">
        <v>0</v>
      </c>
      <c r="K345" s="19"/>
      <c r="M345" s="39"/>
      <c r="N345" s="39"/>
      <c r="O345" s="39"/>
      <c r="P345" s="39"/>
      <c r="Q345" s="39"/>
      <c r="R345" s="39"/>
      <c r="S345" s="39"/>
      <c r="T345" s="39"/>
      <c r="U345" s="39"/>
      <c r="V345" s="39"/>
      <c r="W345" s="39"/>
      <c r="X345" s="39"/>
      <c r="Y345" s="39"/>
      <c r="Z345" s="39"/>
    </row>
    <row r="346" spans="1:26" s="27" customFormat="1" x14ac:dyDescent="0.2"/>
    <row r="347" spans="1:26" x14ac:dyDescent="0.2">
      <c r="A347" s="37" t="s">
        <v>1994</v>
      </c>
      <c r="B347" s="37"/>
      <c r="C347" s="37"/>
      <c r="D347" s="37"/>
      <c r="E347" s="37"/>
      <c r="F347" s="37"/>
      <c r="G347" s="37"/>
      <c r="H347" s="37"/>
      <c r="I347" s="36" t="s">
        <v>1858</v>
      </c>
      <c r="M347" s="43" t="s">
        <v>2185</v>
      </c>
      <c r="N347" s="39"/>
      <c r="O347" s="39"/>
      <c r="P347" s="39"/>
      <c r="Q347" s="39"/>
      <c r="R347" s="39"/>
      <c r="S347" s="39"/>
      <c r="T347" s="39"/>
      <c r="U347" s="39"/>
      <c r="V347" s="39"/>
      <c r="W347" s="39"/>
      <c r="X347" s="39"/>
      <c r="Y347" s="39"/>
      <c r="Z347" s="39"/>
    </row>
    <row r="348" spans="1:26" x14ac:dyDescent="0.2">
      <c r="A348" s="35" t="s">
        <v>1993</v>
      </c>
      <c r="B348" s="35"/>
      <c r="C348" s="35"/>
      <c r="D348" s="35"/>
      <c r="E348" s="35"/>
      <c r="F348" s="35"/>
      <c r="G348" s="35"/>
      <c r="H348" s="35"/>
      <c r="I348" s="35"/>
      <c r="M348" s="39"/>
      <c r="N348" s="39"/>
      <c r="O348" s="39"/>
      <c r="P348" s="39"/>
      <c r="Q348" s="39"/>
      <c r="R348" s="39"/>
      <c r="S348" s="39"/>
      <c r="T348" s="39"/>
      <c r="U348" s="39"/>
      <c r="V348" s="39"/>
      <c r="W348" s="39"/>
      <c r="X348" s="39"/>
      <c r="Y348" s="39"/>
      <c r="Z348" s="39"/>
    </row>
    <row r="349" spans="1:26" x14ac:dyDescent="0.2">
      <c r="A349" s="35"/>
      <c r="B349" s="35"/>
      <c r="C349" s="35"/>
      <c r="D349" s="35"/>
      <c r="E349" s="35"/>
      <c r="F349" s="35"/>
      <c r="G349" s="35"/>
      <c r="H349" s="35"/>
      <c r="I349" s="35"/>
      <c r="M349" s="39"/>
      <c r="N349" s="39"/>
      <c r="O349" s="39"/>
      <c r="P349" s="39"/>
      <c r="Q349" s="39"/>
      <c r="R349" s="39"/>
      <c r="S349" s="39"/>
      <c r="T349" s="39"/>
      <c r="U349" s="39"/>
      <c r="V349" s="39"/>
      <c r="W349" s="39"/>
      <c r="X349" s="39"/>
      <c r="Y349" s="39"/>
      <c r="Z349" s="39"/>
    </row>
    <row r="350" spans="1:26" x14ac:dyDescent="0.2">
      <c r="A350" s="35"/>
      <c r="B350" s="35"/>
      <c r="C350" s="35"/>
      <c r="D350" s="35"/>
      <c r="E350" s="35"/>
      <c r="F350" s="35"/>
      <c r="G350" s="35"/>
      <c r="H350" s="35"/>
      <c r="I350" s="35"/>
      <c r="M350" s="39"/>
      <c r="N350" s="39"/>
      <c r="O350" s="39"/>
      <c r="P350" s="39"/>
      <c r="Q350" s="39"/>
      <c r="R350" s="39"/>
      <c r="S350" s="39"/>
      <c r="T350" s="39"/>
      <c r="U350" s="39"/>
      <c r="V350" s="39"/>
      <c r="W350" s="39"/>
      <c r="X350" s="39"/>
      <c r="Y350" s="39"/>
      <c r="Z350" s="39"/>
    </row>
    <row r="351" spans="1:26" ht="64.75" customHeight="1" x14ac:dyDescent="0.2">
      <c r="A351" s="35"/>
      <c r="B351" s="35"/>
      <c r="C351" s="35"/>
      <c r="D351" s="35"/>
      <c r="E351" s="35"/>
      <c r="F351" s="35"/>
      <c r="G351" s="35"/>
      <c r="H351" s="35"/>
      <c r="I351" s="35"/>
      <c r="M351" s="39"/>
      <c r="N351" s="39"/>
      <c r="O351" s="39"/>
      <c r="P351" s="39"/>
      <c r="Q351" s="39"/>
      <c r="R351" s="39"/>
      <c r="S351" s="39"/>
      <c r="T351" s="39"/>
      <c r="U351" s="39"/>
      <c r="V351" s="39"/>
      <c r="W351" s="39"/>
      <c r="X351" s="39"/>
      <c r="Y351" s="39"/>
      <c r="Z351" s="39"/>
    </row>
    <row r="352" spans="1:26" ht="16" x14ac:dyDescent="0.2">
      <c r="A352" s="42" t="s">
        <v>0</v>
      </c>
      <c r="B352" s="41" t="s">
        <v>1992</v>
      </c>
      <c r="C352" s="41"/>
      <c r="D352" s="41"/>
      <c r="E352" s="41"/>
      <c r="F352" s="41"/>
      <c r="G352" s="41"/>
      <c r="H352" s="41"/>
      <c r="I352" s="40" t="s">
        <v>2154</v>
      </c>
      <c r="J352" s="28">
        <f>IF(ISNUMBER(SEARCH("x",I352)),1,0)</f>
        <v>1</v>
      </c>
      <c r="K352" s="19">
        <f>SUM(J352:J355)</f>
        <v>1</v>
      </c>
      <c r="M352" s="39"/>
      <c r="N352" s="39"/>
      <c r="O352" s="39"/>
      <c r="P352" s="39"/>
      <c r="Q352" s="39"/>
      <c r="R352" s="39"/>
      <c r="S352" s="39"/>
      <c r="T352" s="39"/>
      <c r="U352" s="39"/>
      <c r="V352" s="39"/>
      <c r="W352" s="39"/>
      <c r="X352" s="39"/>
      <c r="Y352" s="39"/>
      <c r="Z352" s="39"/>
    </row>
    <row r="353" spans="1:26" ht="28.75" customHeight="1" x14ac:dyDescent="0.2">
      <c r="A353" s="34" t="s">
        <v>1</v>
      </c>
      <c r="B353" s="33" t="s">
        <v>1991</v>
      </c>
      <c r="C353" s="33"/>
      <c r="D353" s="33"/>
      <c r="E353" s="33"/>
      <c r="F353" s="33"/>
      <c r="G353" s="33"/>
      <c r="H353" s="33"/>
      <c r="J353" s="38">
        <v>0</v>
      </c>
      <c r="K353" s="19"/>
      <c r="M353" s="39"/>
      <c r="N353" s="39"/>
      <c r="O353" s="39"/>
      <c r="P353" s="39"/>
      <c r="Q353" s="39"/>
      <c r="R353" s="39"/>
      <c r="S353" s="39"/>
      <c r="T353" s="39"/>
      <c r="U353" s="39"/>
      <c r="V353" s="39"/>
      <c r="W353" s="39"/>
      <c r="X353" s="39"/>
      <c r="Y353" s="39"/>
      <c r="Z353" s="39"/>
    </row>
    <row r="354" spans="1:26" ht="16" x14ac:dyDescent="0.2">
      <c r="A354" s="34" t="s">
        <v>2</v>
      </c>
      <c r="B354" s="33" t="s">
        <v>1990</v>
      </c>
      <c r="C354" s="33"/>
      <c r="D354" s="33"/>
      <c r="E354" s="33"/>
      <c r="F354" s="33"/>
      <c r="G354" s="33"/>
      <c r="H354" s="33"/>
      <c r="J354" s="38">
        <v>0</v>
      </c>
      <c r="K354" s="19"/>
      <c r="M354" s="39"/>
      <c r="N354" s="39"/>
      <c r="O354" s="39"/>
      <c r="P354" s="39"/>
      <c r="Q354" s="39"/>
      <c r="R354" s="39"/>
      <c r="S354" s="39"/>
      <c r="T354" s="39"/>
      <c r="U354" s="39"/>
      <c r="V354" s="39"/>
      <c r="W354" s="39"/>
      <c r="X354" s="39"/>
      <c r="Y354" s="39"/>
      <c r="Z354" s="39"/>
    </row>
    <row r="355" spans="1:26" ht="28.75" customHeight="1" x14ac:dyDescent="0.2">
      <c r="A355" s="34" t="s">
        <v>3</v>
      </c>
      <c r="B355" s="33" t="s">
        <v>1989</v>
      </c>
      <c r="C355" s="33"/>
      <c r="D355" s="33"/>
      <c r="E355" s="33"/>
      <c r="F355" s="33"/>
      <c r="G355" s="33"/>
      <c r="H355" s="33"/>
      <c r="J355" s="38">
        <v>0</v>
      </c>
      <c r="K355" s="19"/>
      <c r="M355" s="39"/>
      <c r="N355" s="39"/>
      <c r="O355" s="39"/>
      <c r="P355" s="39"/>
      <c r="Q355" s="39"/>
      <c r="R355" s="39"/>
      <c r="S355" s="39"/>
      <c r="T355" s="39"/>
      <c r="U355" s="39"/>
      <c r="V355" s="39"/>
      <c r="W355" s="39"/>
      <c r="X355" s="39"/>
      <c r="Y355" s="39"/>
      <c r="Z355" s="39"/>
    </row>
    <row r="356" spans="1:26" s="27" customFormat="1" x14ac:dyDescent="0.2"/>
    <row r="357" spans="1:26" x14ac:dyDescent="0.2">
      <c r="A357" s="37" t="s">
        <v>1988</v>
      </c>
      <c r="B357" s="37"/>
      <c r="C357" s="37"/>
      <c r="D357" s="37"/>
      <c r="E357" s="37"/>
      <c r="F357" s="37"/>
      <c r="G357" s="37"/>
      <c r="H357" s="37"/>
      <c r="I357" s="36" t="s">
        <v>1858</v>
      </c>
      <c r="M357" s="43" t="s">
        <v>2184</v>
      </c>
      <c r="N357" s="39"/>
      <c r="O357" s="39"/>
      <c r="P357" s="39"/>
      <c r="Q357" s="39"/>
      <c r="R357" s="39"/>
      <c r="S357" s="39"/>
      <c r="T357" s="39"/>
      <c r="U357" s="39"/>
      <c r="V357" s="39"/>
      <c r="W357" s="39"/>
      <c r="X357" s="39"/>
      <c r="Y357" s="39"/>
      <c r="Z357" s="39"/>
    </row>
    <row r="358" spans="1:26" x14ac:dyDescent="0.2">
      <c r="A358" s="35" t="s">
        <v>1987</v>
      </c>
      <c r="B358" s="35"/>
      <c r="C358" s="35"/>
      <c r="D358" s="35"/>
      <c r="E358" s="35"/>
      <c r="F358" s="35"/>
      <c r="G358" s="35"/>
      <c r="H358" s="35"/>
      <c r="I358" s="35"/>
      <c r="M358" s="39"/>
      <c r="N358" s="39"/>
      <c r="O358" s="39"/>
      <c r="P358" s="39"/>
      <c r="Q358" s="39"/>
      <c r="R358" s="39"/>
      <c r="S358" s="39"/>
      <c r="T358" s="39"/>
      <c r="U358" s="39"/>
      <c r="V358" s="39"/>
      <c r="W358" s="39"/>
      <c r="X358" s="39"/>
      <c r="Y358" s="39"/>
      <c r="Z358" s="39"/>
    </row>
    <row r="359" spans="1:26" x14ac:dyDescent="0.2">
      <c r="A359" s="35"/>
      <c r="B359" s="35"/>
      <c r="C359" s="35"/>
      <c r="D359" s="35"/>
      <c r="E359" s="35"/>
      <c r="F359" s="35"/>
      <c r="G359" s="35"/>
      <c r="H359" s="35"/>
      <c r="I359" s="35"/>
      <c r="M359" s="39"/>
      <c r="N359" s="39"/>
      <c r="O359" s="39"/>
      <c r="P359" s="39"/>
      <c r="Q359" s="39"/>
      <c r="R359" s="39"/>
      <c r="S359" s="39"/>
      <c r="T359" s="39"/>
      <c r="U359" s="39"/>
      <c r="V359" s="39"/>
      <c r="W359" s="39"/>
      <c r="X359" s="39"/>
      <c r="Y359" s="39"/>
      <c r="Z359" s="39"/>
    </row>
    <row r="360" spans="1:26" x14ac:dyDescent="0.2">
      <c r="A360" s="35"/>
      <c r="B360" s="35"/>
      <c r="C360" s="35"/>
      <c r="D360" s="35"/>
      <c r="E360" s="35"/>
      <c r="F360" s="35"/>
      <c r="G360" s="35"/>
      <c r="H360" s="35"/>
      <c r="I360" s="35"/>
      <c r="M360" s="39"/>
      <c r="N360" s="39"/>
      <c r="O360" s="39"/>
      <c r="P360" s="39"/>
      <c r="Q360" s="39"/>
      <c r="R360" s="39"/>
      <c r="S360" s="39"/>
      <c r="T360" s="39"/>
      <c r="U360" s="39"/>
      <c r="V360" s="39"/>
      <c r="W360" s="39"/>
      <c r="X360" s="39"/>
      <c r="Y360" s="39"/>
      <c r="Z360" s="39"/>
    </row>
    <row r="361" spans="1:26" ht="46.25" customHeight="1" x14ac:dyDescent="0.2">
      <c r="A361" s="35"/>
      <c r="B361" s="35"/>
      <c r="C361" s="35"/>
      <c r="D361" s="35"/>
      <c r="E361" s="35"/>
      <c r="F361" s="35"/>
      <c r="G361" s="35"/>
      <c r="H361" s="35"/>
      <c r="I361" s="35"/>
      <c r="M361" s="39"/>
      <c r="N361" s="39"/>
      <c r="O361" s="39"/>
      <c r="P361" s="39"/>
      <c r="Q361" s="39"/>
      <c r="R361" s="39"/>
      <c r="S361" s="39"/>
      <c r="T361" s="39"/>
      <c r="U361" s="39"/>
      <c r="V361" s="39"/>
      <c r="W361" s="39"/>
      <c r="X361" s="39"/>
      <c r="Y361" s="39"/>
      <c r="Z361" s="39"/>
    </row>
    <row r="362" spans="1:26" ht="16" x14ac:dyDescent="0.2">
      <c r="A362" s="34" t="s">
        <v>0</v>
      </c>
      <c r="B362" s="33" t="s">
        <v>14</v>
      </c>
      <c r="C362" s="33"/>
      <c r="D362" s="33"/>
      <c r="E362" s="33"/>
      <c r="F362" s="33"/>
      <c r="G362" s="33"/>
      <c r="H362" s="33"/>
      <c r="J362" s="28">
        <v>0</v>
      </c>
      <c r="K362" s="19">
        <f>SUM(J362:J365)</f>
        <v>1</v>
      </c>
      <c r="M362" s="39"/>
      <c r="N362" s="39"/>
      <c r="O362" s="39"/>
      <c r="P362" s="39"/>
      <c r="Q362" s="39"/>
      <c r="R362" s="39"/>
      <c r="S362" s="39"/>
      <c r="T362" s="39"/>
      <c r="U362" s="39"/>
      <c r="V362" s="39"/>
      <c r="W362" s="39"/>
      <c r="X362" s="39"/>
      <c r="Y362" s="39"/>
      <c r="Z362" s="39"/>
    </row>
    <row r="363" spans="1:26" ht="16" x14ac:dyDescent="0.2">
      <c r="A363" s="34" t="s">
        <v>1</v>
      </c>
      <c r="B363" s="33" t="s">
        <v>1523</v>
      </c>
      <c r="C363" s="33"/>
      <c r="D363" s="33"/>
      <c r="E363" s="33"/>
      <c r="F363" s="33"/>
      <c r="G363" s="33"/>
      <c r="H363" s="33"/>
      <c r="J363" s="28">
        <v>0</v>
      </c>
      <c r="K363" s="19"/>
      <c r="M363" s="39"/>
      <c r="N363" s="39"/>
      <c r="O363" s="39"/>
      <c r="P363" s="39"/>
      <c r="Q363" s="39"/>
      <c r="R363" s="39"/>
      <c r="S363" s="39"/>
      <c r="T363" s="39"/>
      <c r="U363" s="39"/>
      <c r="V363" s="39"/>
      <c r="W363" s="39"/>
      <c r="X363" s="39"/>
      <c r="Y363" s="39"/>
      <c r="Z363" s="39"/>
    </row>
    <row r="364" spans="1:26" ht="16" x14ac:dyDescent="0.2">
      <c r="A364" s="34" t="s">
        <v>2</v>
      </c>
      <c r="B364" s="33" t="s">
        <v>5</v>
      </c>
      <c r="C364" s="33"/>
      <c r="D364" s="33"/>
      <c r="E364" s="33"/>
      <c r="F364" s="33"/>
      <c r="G364" s="33"/>
      <c r="H364" s="33"/>
      <c r="J364" s="28">
        <v>0</v>
      </c>
      <c r="K364" s="19"/>
      <c r="M364" s="39"/>
      <c r="N364" s="39"/>
      <c r="O364" s="39"/>
      <c r="P364" s="39"/>
      <c r="Q364" s="39"/>
      <c r="R364" s="39"/>
      <c r="S364" s="39"/>
      <c r="T364" s="39"/>
      <c r="U364" s="39"/>
      <c r="V364" s="39"/>
      <c r="W364" s="39"/>
      <c r="X364" s="39"/>
      <c r="Y364" s="39"/>
      <c r="Z364" s="39"/>
    </row>
    <row r="365" spans="1:26" ht="16" x14ac:dyDescent="0.2">
      <c r="A365" s="42" t="s">
        <v>3</v>
      </c>
      <c r="B365" s="41" t="s">
        <v>4</v>
      </c>
      <c r="C365" s="41"/>
      <c r="D365" s="41"/>
      <c r="E365" s="41"/>
      <c r="F365" s="41"/>
      <c r="G365" s="41"/>
      <c r="H365" s="41"/>
      <c r="I365" s="40" t="s">
        <v>2154</v>
      </c>
      <c r="J365" s="28">
        <f>IF(ISNUMBER(SEARCH("x",I365)),1,0)</f>
        <v>1</v>
      </c>
      <c r="K365" s="19"/>
      <c r="M365" s="39"/>
      <c r="N365" s="39"/>
      <c r="O365" s="39"/>
      <c r="P365" s="39"/>
      <c r="Q365" s="39"/>
      <c r="R365" s="39"/>
      <c r="S365" s="39"/>
      <c r="T365" s="39"/>
      <c r="U365" s="39"/>
      <c r="V365" s="39"/>
      <c r="W365" s="39"/>
      <c r="X365" s="39"/>
      <c r="Y365" s="39"/>
      <c r="Z365" s="39"/>
    </row>
    <row r="366" spans="1:26" s="27" customFormat="1" x14ac:dyDescent="0.2"/>
    <row r="367" spans="1:26" x14ac:dyDescent="0.2">
      <c r="A367" s="37" t="s">
        <v>1986</v>
      </c>
      <c r="B367" s="37"/>
      <c r="C367" s="37"/>
      <c r="D367" s="37"/>
      <c r="E367" s="37"/>
      <c r="F367" s="37"/>
      <c r="G367" s="37"/>
      <c r="H367" s="37"/>
      <c r="I367" s="36" t="s">
        <v>1858</v>
      </c>
      <c r="M367" s="43" t="s">
        <v>2183</v>
      </c>
      <c r="N367" s="39"/>
      <c r="O367" s="39"/>
      <c r="P367" s="39"/>
      <c r="Q367" s="39"/>
      <c r="R367" s="39"/>
      <c r="S367" s="39"/>
      <c r="T367" s="39"/>
      <c r="U367" s="39"/>
      <c r="V367" s="39"/>
      <c r="W367" s="39"/>
      <c r="X367" s="39"/>
      <c r="Y367" s="39"/>
      <c r="Z367" s="39"/>
    </row>
    <row r="368" spans="1:26" x14ac:dyDescent="0.2">
      <c r="A368" s="35" t="s">
        <v>1985</v>
      </c>
      <c r="B368" s="35"/>
      <c r="C368" s="35"/>
      <c r="D368" s="35"/>
      <c r="E368" s="35"/>
      <c r="F368" s="35"/>
      <c r="G368" s="35"/>
      <c r="H368" s="35"/>
      <c r="I368" s="35"/>
      <c r="M368" s="39"/>
      <c r="N368" s="39"/>
      <c r="O368" s="39"/>
      <c r="P368" s="39"/>
      <c r="Q368" s="39"/>
      <c r="R368" s="39"/>
      <c r="S368" s="39"/>
      <c r="T368" s="39"/>
      <c r="U368" s="39"/>
      <c r="V368" s="39"/>
      <c r="W368" s="39"/>
      <c r="X368" s="39"/>
      <c r="Y368" s="39"/>
      <c r="Z368" s="39"/>
    </row>
    <row r="369" spans="1:26" x14ac:dyDescent="0.2">
      <c r="A369" s="35"/>
      <c r="B369" s="35"/>
      <c r="C369" s="35"/>
      <c r="D369" s="35"/>
      <c r="E369" s="35"/>
      <c r="F369" s="35"/>
      <c r="G369" s="35"/>
      <c r="H369" s="35"/>
      <c r="I369" s="35"/>
      <c r="M369" s="39"/>
      <c r="N369" s="39"/>
      <c r="O369" s="39"/>
      <c r="P369" s="39"/>
      <c r="Q369" s="39"/>
      <c r="R369" s="39"/>
      <c r="S369" s="39"/>
      <c r="T369" s="39"/>
      <c r="U369" s="39"/>
      <c r="V369" s="39"/>
      <c r="W369" s="39"/>
      <c r="X369" s="39"/>
      <c r="Y369" s="39"/>
      <c r="Z369" s="39"/>
    </row>
    <row r="370" spans="1:26" x14ac:dyDescent="0.2">
      <c r="A370" s="35"/>
      <c r="B370" s="35"/>
      <c r="C370" s="35"/>
      <c r="D370" s="35"/>
      <c r="E370" s="35"/>
      <c r="F370" s="35"/>
      <c r="G370" s="35"/>
      <c r="H370" s="35"/>
      <c r="I370" s="35"/>
      <c r="M370" s="39"/>
      <c r="N370" s="39"/>
      <c r="O370" s="39"/>
      <c r="P370" s="39"/>
      <c r="Q370" s="39"/>
      <c r="R370" s="39"/>
      <c r="S370" s="39"/>
      <c r="T370" s="39"/>
      <c r="U370" s="39"/>
      <c r="V370" s="39"/>
      <c r="W370" s="39"/>
      <c r="X370" s="39"/>
      <c r="Y370" s="39"/>
      <c r="Z370" s="39"/>
    </row>
    <row r="371" spans="1:26" ht="246" customHeight="1" x14ac:dyDescent="0.2">
      <c r="A371" s="35"/>
      <c r="B371" s="35"/>
      <c r="C371" s="35"/>
      <c r="D371" s="35"/>
      <c r="E371" s="35"/>
      <c r="F371" s="35"/>
      <c r="G371" s="35"/>
      <c r="H371" s="35"/>
      <c r="I371" s="35"/>
      <c r="M371" s="39"/>
      <c r="N371" s="39"/>
      <c r="O371" s="39"/>
      <c r="P371" s="39"/>
      <c r="Q371" s="39"/>
      <c r="R371" s="39"/>
      <c r="S371" s="39"/>
      <c r="T371" s="39"/>
      <c r="U371" s="39"/>
      <c r="V371" s="39"/>
      <c r="W371" s="39"/>
      <c r="X371" s="39"/>
      <c r="Y371" s="39"/>
      <c r="Z371" s="39"/>
    </row>
    <row r="372" spans="1:26" ht="16" x14ac:dyDescent="0.2">
      <c r="A372" s="34" t="s">
        <v>0</v>
      </c>
      <c r="B372" s="33" t="s">
        <v>1984</v>
      </c>
      <c r="C372" s="33"/>
      <c r="D372" s="33"/>
      <c r="E372" s="33"/>
      <c r="F372" s="33"/>
      <c r="G372" s="33"/>
      <c r="H372" s="33"/>
      <c r="J372" s="28">
        <v>0</v>
      </c>
      <c r="K372" s="19">
        <f>SUM(J372:J375)</f>
        <v>1</v>
      </c>
      <c r="M372" s="39"/>
      <c r="N372" s="39"/>
      <c r="O372" s="39"/>
      <c r="P372" s="39"/>
      <c r="Q372" s="39"/>
      <c r="R372" s="39"/>
      <c r="S372" s="39"/>
      <c r="T372" s="39"/>
      <c r="U372" s="39"/>
      <c r="V372" s="39"/>
      <c r="W372" s="39"/>
      <c r="X372" s="39"/>
      <c r="Y372" s="39"/>
      <c r="Z372" s="39"/>
    </row>
    <row r="373" spans="1:26" ht="16" x14ac:dyDescent="0.2">
      <c r="A373" s="34" t="s">
        <v>1</v>
      </c>
      <c r="B373" s="33" t="s">
        <v>1680</v>
      </c>
      <c r="C373" s="33"/>
      <c r="D373" s="33"/>
      <c r="E373" s="33"/>
      <c r="F373" s="33"/>
      <c r="G373" s="33"/>
      <c r="H373" s="33"/>
      <c r="J373" s="28">
        <v>0</v>
      </c>
      <c r="K373" s="19"/>
      <c r="M373" s="39"/>
      <c r="N373" s="39"/>
      <c r="O373" s="39"/>
      <c r="P373" s="39"/>
      <c r="Q373" s="39"/>
      <c r="R373" s="39"/>
      <c r="S373" s="39"/>
      <c r="T373" s="39"/>
      <c r="U373" s="39"/>
      <c r="V373" s="39"/>
      <c r="W373" s="39"/>
      <c r="X373" s="39"/>
      <c r="Y373" s="39"/>
      <c r="Z373" s="39"/>
    </row>
    <row r="374" spans="1:26" ht="16" x14ac:dyDescent="0.2">
      <c r="A374" s="34" t="s">
        <v>2</v>
      </c>
      <c r="B374" s="33" t="s">
        <v>808</v>
      </c>
      <c r="C374" s="33"/>
      <c r="D374" s="33"/>
      <c r="E374" s="33"/>
      <c r="F374" s="33"/>
      <c r="G374" s="33"/>
      <c r="H374" s="33"/>
      <c r="J374" s="28">
        <v>0</v>
      </c>
      <c r="K374" s="19"/>
      <c r="M374" s="39"/>
      <c r="N374" s="39"/>
      <c r="O374" s="39"/>
      <c r="P374" s="39"/>
      <c r="Q374" s="39"/>
      <c r="R374" s="39"/>
      <c r="S374" s="39"/>
      <c r="T374" s="39"/>
      <c r="U374" s="39"/>
      <c r="V374" s="39"/>
      <c r="W374" s="39"/>
      <c r="X374" s="39"/>
      <c r="Y374" s="39"/>
      <c r="Z374" s="39"/>
    </row>
    <row r="375" spans="1:26" ht="16" x14ac:dyDescent="0.2">
      <c r="A375" s="42" t="s">
        <v>3</v>
      </c>
      <c r="B375" s="41" t="s">
        <v>1099</v>
      </c>
      <c r="C375" s="41"/>
      <c r="D375" s="41"/>
      <c r="E375" s="41"/>
      <c r="F375" s="41"/>
      <c r="G375" s="41"/>
      <c r="H375" s="41"/>
      <c r="I375" s="40" t="s">
        <v>2154</v>
      </c>
      <c r="J375" s="28">
        <f>IF(ISNUMBER(SEARCH("x",I375)),1,0)</f>
        <v>1</v>
      </c>
      <c r="K375" s="19"/>
      <c r="M375" s="39"/>
      <c r="N375" s="39"/>
      <c r="O375" s="39"/>
      <c r="P375" s="39"/>
      <c r="Q375" s="39"/>
      <c r="R375" s="39"/>
      <c r="S375" s="39"/>
      <c r="T375" s="39"/>
      <c r="U375" s="39"/>
      <c r="V375" s="39"/>
      <c r="W375" s="39"/>
      <c r="X375" s="39"/>
      <c r="Y375" s="39"/>
      <c r="Z375" s="39"/>
    </row>
    <row r="376" spans="1:26" s="27" customFormat="1" x14ac:dyDescent="0.2"/>
    <row r="377" spans="1:26" x14ac:dyDescent="0.2">
      <c r="A377" s="37" t="s">
        <v>1983</v>
      </c>
      <c r="B377" s="37"/>
      <c r="C377" s="37"/>
      <c r="D377" s="37"/>
      <c r="E377" s="37"/>
      <c r="F377" s="37"/>
      <c r="G377" s="37"/>
      <c r="H377" s="37"/>
      <c r="I377" s="36" t="s">
        <v>1858</v>
      </c>
      <c r="M377" s="43" t="s">
        <v>2182</v>
      </c>
      <c r="N377" s="39"/>
      <c r="O377" s="39"/>
      <c r="P377" s="39"/>
      <c r="Q377" s="39"/>
      <c r="R377" s="39"/>
      <c r="S377" s="39"/>
      <c r="T377" s="39"/>
      <c r="U377" s="39"/>
      <c r="V377" s="39"/>
      <c r="W377" s="39"/>
      <c r="X377" s="39"/>
      <c r="Y377" s="39"/>
      <c r="Z377" s="39"/>
    </row>
    <row r="378" spans="1:26" x14ac:dyDescent="0.2">
      <c r="A378" s="35" t="s">
        <v>1982</v>
      </c>
      <c r="B378" s="35"/>
      <c r="C378" s="35"/>
      <c r="D378" s="35"/>
      <c r="E378" s="35"/>
      <c r="F378" s="35"/>
      <c r="G378" s="35"/>
      <c r="H378" s="35"/>
      <c r="I378" s="35"/>
      <c r="M378" s="39"/>
      <c r="N378" s="39"/>
      <c r="O378" s="39"/>
      <c r="P378" s="39"/>
      <c r="Q378" s="39"/>
      <c r="R378" s="39"/>
      <c r="S378" s="39"/>
      <c r="T378" s="39"/>
      <c r="U378" s="39"/>
      <c r="V378" s="39"/>
      <c r="W378" s="39"/>
      <c r="X378" s="39"/>
      <c r="Y378" s="39"/>
      <c r="Z378" s="39"/>
    </row>
    <row r="379" spans="1:26" x14ac:dyDescent="0.2">
      <c r="A379" s="35"/>
      <c r="B379" s="35"/>
      <c r="C379" s="35"/>
      <c r="D379" s="35"/>
      <c r="E379" s="35"/>
      <c r="F379" s="35"/>
      <c r="G379" s="35"/>
      <c r="H379" s="35"/>
      <c r="I379" s="35"/>
      <c r="M379" s="39"/>
      <c r="N379" s="39"/>
      <c r="O379" s="39"/>
      <c r="P379" s="39"/>
      <c r="Q379" s="39"/>
      <c r="R379" s="39"/>
      <c r="S379" s="39"/>
      <c r="T379" s="39"/>
      <c r="U379" s="39"/>
      <c r="V379" s="39"/>
      <c r="W379" s="39"/>
      <c r="X379" s="39"/>
      <c r="Y379" s="39"/>
      <c r="Z379" s="39"/>
    </row>
    <row r="380" spans="1:26" x14ac:dyDescent="0.2">
      <c r="A380" s="35"/>
      <c r="B380" s="35"/>
      <c r="C380" s="35"/>
      <c r="D380" s="35"/>
      <c r="E380" s="35"/>
      <c r="F380" s="35"/>
      <c r="G380" s="35"/>
      <c r="H380" s="35"/>
      <c r="I380" s="35"/>
      <c r="M380" s="39"/>
      <c r="N380" s="39"/>
      <c r="O380" s="39"/>
      <c r="P380" s="39"/>
      <c r="Q380" s="39"/>
      <c r="R380" s="39"/>
      <c r="S380" s="39"/>
      <c r="T380" s="39"/>
      <c r="U380" s="39"/>
      <c r="V380" s="39"/>
      <c r="W380" s="39"/>
      <c r="X380" s="39"/>
      <c r="Y380" s="39"/>
      <c r="Z380" s="39"/>
    </row>
    <row r="381" spans="1:26" ht="53.5" customHeight="1" x14ac:dyDescent="0.2">
      <c r="A381" s="35"/>
      <c r="B381" s="35"/>
      <c r="C381" s="35"/>
      <c r="D381" s="35"/>
      <c r="E381" s="35"/>
      <c r="F381" s="35"/>
      <c r="G381" s="35"/>
      <c r="H381" s="35"/>
      <c r="I381" s="35"/>
      <c r="M381" s="39"/>
      <c r="N381" s="39"/>
      <c r="O381" s="39"/>
      <c r="P381" s="39"/>
      <c r="Q381" s="39"/>
      <c r="R381" s="39"/>
      <c r="S381" s="39"/>
      <c r="T381" s="39"/>
      <c r="U381" s="39"/>
      <c r="V381" s="39"/>
      <c r="W381" s="39"/>
      <c r="X381" s="39"/>
      <c r="Y381" s="39"/>
      <c r="Z381" s="39"/>
    </row>
    <row r="382" spans="1:26" ht="16" x14ac:dyDescent="0.2">
      <c r="A382" s="34" t="s">
        <v>0</v>
      </c>
      <c r="B382" s="33" t="s">
        <v>1456</v>
      </c>
      <c r="C382" s="33"/>
      <c r="D382" s="33"/>
      <c r="E382" s="33"/>
      <c r="F382" s="33"/>
      <c r="G382" s="33"/>
      <c r="H382" s="33"/>
      <c r="J382" s="28">
        <v>0</v>
      </c>
      <c r="K382" s="19">
        <f>SUM(J382:J385)</f>
        <v>1</v>
      </c>
      <c r="M382" s="39"/>
      <c r="N382" s="39"/>
      <c r="O382" s="39"/>
      <c r="P382" s="39"/>
      <c r="Q382" s="39"/>
      <c r="R382" s="39"/>
      <c r="S382" s="39"/>
      <c r="T382" s="39"/>
      <c r="U382" s="39"/>
      <c r="V382" s="39"/>
      <c r="W382" s="39"/>
      <c r="X382" s="39"/>
      <c r="Y382" s="39"/>
      <c r="Z382" s="39"/>
    </row>
    <row r="383" spans="1:26" ht="16" x14ac:dyDescent="0.2">
      <c r="A383" s="34" t="s">
        <v>1</v>
      </c>
      <c r="B383" s="33" t="s">
        <v>1981</v>
      </c>
      <c r="C383" s="33"/>
      <c r="D383" s="33"/>
      <c r="E383" s="33"/>
      <c r="F383" s="33"/>
      <c r="G383" s="33"/>
      <c r="H383" s="33"/>
      <c r="J383" s="28">
        <v>0</v>
      </c>
      <c r="K383" s="19"/>
      <c r="M383" s="39"/>
      <c r="N383" s="39"/>
      <c r="O383" s="39"/>
      <c r="P383" s="39"/>
      <c r="Q383" s="39"/>
      <c r="R383" s="39"/>
      <c r="S383" s="39"/>
      <c r="T383" s="39"/>
      <c r="U383" s="39"/>
      <c r="V383" s="39"/>
      <c r="W383" s="39"/>
      <c r="X383" s="39"/>
      <c r="Y383" s="39"/>
      <c r="Z383" s="39"/>
    </row>
    <row r="384" spans="1:26" ht="16" x14ac:dyDescent="0.2">
      <c r="A384" s="42" t="s">
        <v>2</v>
      </c>
      <c r="B384" s="41" t="s">
        <v>809</v>
      </c>
      <c r="C384" s="41"/>
      <c r="D384" s="41"/>
      <c r="E384" s="41"/>
      <c r="F384" s="41"/>
      <c r="G384" s="41"/>
      <c r="H384" s="41"/>
      <c r="I384" s="40" t="s">
        <v>2154</v>
      </c>
      <c r="J384" s="28">
        <f>IF(ISNUMBER(SEARCH("x",I384)),1,0)</f>
        <v>1</v>
      </c>
      <c r="K384" s="19"/>
      <c r="M384" s="39"/>
      <c r="N384" s="39"/>
      <c r="O384" s="39"/>
      <c r="P384" s="39"/>
      <c r="Q384" s="39"/>
      <c r="R384" s="39"/>
      <c r="S384" s="39"/>
      <c r="T384" s="39"/>
      <c r="U384" s="39"/>
      <c r="V384" s="39"/>
      <c r="W384" s="39"/>
      <c r="X384" s="39"/>
      <c r="Y384" s="39"/>
      <c r="Z384" s="39"/>
    </row>
    <row r="385" spans="1:26" ht="16" x14ac:dyDescent="0.2">
      <c r="A385" s="34" t="s">
        <v>3</v>
      </c>
      <c r="B385" s="33" t="s">
        <v>1454</v>
      </c>
      <c r="C385" s="33"/>
      <c r="D385" s="33"/>
      <c r="E385" s="33"/>
      <c r="F385" s="33"/>
      <c r="G385" s="33"/>
      <c r="H385" s="33"/>
      <c r="J385" s="28">
        <v>0</v>
      </c>
      <c r="K385" s="19"/>
      <c r="M385" s="39"/>
      <c r="N385" s="39"/>
      <c r="O385" s="39"/>
      <c r="P385" s="39"/>
      <c r="Q385" s="39"/>
      <c r="R385" s="39"/>
      <c r="S385" s="39"/>
      <c r="T385" s="39"/>
      <c r="U385" s="39"/>
      <c r="V385" s="39"/>
      <c r="W385" s="39"/>
      <c r="X385" s="39"/>
      <c r="Y385" s="39"/>
      <c r="Z385" s="39"/>
    </row>
    <row r="386" spans="1:26" s="27" customFormat="1" x14ac:dyDescent="0.2"/>
    <row r="387" spans="1:26" x14ac:dyDescent="0.2">
      <c r="A387" s="37" t="s">
        <v>1980</v>
      </c>
      <c r="B387" s="37"/>
      <c r="C387" s="37"/>
      <c r="D387" s="37"/>
      <c r="E387" s="37"/>
      <c r="F387" s="37"/>
      <c r="G387" s="37"/>
      <c r="H387" s="37"/>
      <c r="I387" s="36" t="s">
        <v>1858</v>
      </c>
      <c r="M387" s="43" t="s">
        <v>2181</v>
      </c>
      <c r="N387" s="39"/>
      <c r="O387" s="39"/>
      <c r="P387" s="39"/>
      <c r="Q387" s="39"/>
      <c r="R387" s="39"/>
      <c r="S387" s="39"/>
      <c r="T387" s="39"/>
      <c r="U387" s="39"/>
      <c r="V387" s="39"/>
      <c r="W387" s="39"/>
      <c r="X387" s="39"/>
      <c r="Y387" s="39"/>
      <c r="Z387" s="39"/>
    </row>
    <row r="388" spans="1:26" x14ac:dyDescent="0.2">
      <c r="A388" s="35" t="s">
        <v>1979</v>
      </c>
      <c r="B388" s="35"/>
      <c r="C388" s="35"/>
      <c r="D388" s="35"/>
      <c r="E388" s="35"/>
      <c r="F388" s="35"/>
      <c r="G388" s="35"/>
      <c r="H388" s="35"/>
      <c r="I388" s="35"/>
      <c r="M388" s="39"/>
      <c r="N388" s="39"/>
      <c r="O388" s="39"/>
      <c r="P388" s="39"/>
      <c r="Q388" s="39"/>
      <c r="R388" s="39"/>
      <c r="S388" s="39"/>
      <c r="T388" s="39"/>
      <c r="U388" s="39"/>
      <c r="V388" s="39"/>
      <c r="W388" s="39"/>
      <c r="X388" s="39"/>
      <c r="Y388" s="39"/>
      <c r="Z388" s="39"/>
    </row>
    <row r="389" spans="1:26" x14ac:dyDescent="0.2">
      <c r="A389" s="35"/>
      <c r="B389" s="35"/>
      <c r="C389" s="35"/>
      <c r="D389" s="35"/>
      <c r="E389" s="35"/>
      <c r="F389" s="35"/>
      <c r="G389" s="35"/>
      <c r="H389" s="35"/>
      <c r="I389" s="35"/>
      <c r="M389" s="39"/>
      <c r="N389" s="39"/>
      <c r="O389" s="39"/>
      <c r="P389" s="39"/>
      <c r="Q389" s="39"/>
      <c r="R389" s="39"/>
      <c r="S389" s="39"/>
      <c r="T389" s="39"/>
      <c r="U389" s="39"/>
      <c r="V389" s="39"/>
      <c r="W389" s="39"/>
      <c r="X389" s="39"/>
      <c r="Y389" s="39"/>
      <c r="Z389" s="39"/>
    </row>
    <row r="390" spans="1:26" x14ac:dyDescent="0.2">
      <c r="A390" s="35"/>
      <c r="B390" s="35"/>
      <c r="C390" s="35"/>
      <c r="D390" s="35"/>
      <c r="E390" s="35"/>
      <c r="F390" s="35"/>
      <c r="G390" s="35"/>
      <c r="H390" s="35"/>
      <c r="I390" s="35"/>
      <c r="M390" s="39"/>
      <c r="N390" s="39"/>
      <c r="O390" s="39"/>
      <c r="P390" s="39"/>
      <c r="Q390" s="39"/>
      <c r="R390" s="39"/>
      <c r="S390" s="39"/>
      <c r="T390" s="39"/>
      <c r="U390" s="39"/>
      <c r="V390" s="39"/>
      <c r="W390" s="39"/>
      <c r="X390" s="39"/>
      <c r="Y390" s="39"/>
      <c r="Z390" s="39"/>
    </row>
    <row r="391" spans="1:26" ht="38.5" customHeight="1" x14ac:dyDescent="0.2">
      <c r="A391" s="35"/>
      <c r="B391" s="35"/>
      <c r="C391" s="35"/>
      <c r="D391" s="35"/>
      <c r="E391" s="35"/>
      <c r="F391" s="35"/>
      <c r="G391" s="35"/>
      <c r="H391" s="35"/>
      <c r="I391" s="35"/>
      <c r="M391" s="39"/>
      <c r="N391" s="39"/>
      <c r="O391" s="39"/>
      <c r="P391" s="39"/>
      <c r="Q391" s="39"/>
      <c r="R391" s="39"/>
      <c r="S391" s="39"/>
      <c r="T391" s="39"/>
      <c r="U391" s="39"/>
      <c r="V391" s="39"/>
      <c r="W391" s="39"/>
      <c r="X391" s="39"/>
      <c r="Y391" s="39"/>
      <c r="Z391" s="39"/>
    </row>
    <row r="392" spans="1:26" ht="16" x14ac:dyDescent="0.2">
      <c r="A392" s="34" t="s">
        <v>0</v>
      </c>
      <c r="B392" s="33" t="s">
        <v>5</v>
      </c>
      <c r="C392" s="33"/>
      <c r="D392" s="33"/>
      <c r="E392" s="33"/>
      <c r="F392" s="33"/>
      <c r="G392" s="33"/>
      <c r="H392" s="33"/>
      <c r="J392" s="28">
        <v>0</v>
      </c>
      <c r="K392" s="19">
        <f>SUM(J392:J395)</f>
        <v>1</v>
      </c>
      <c r="M392" s="39"/>
      <c r="N392" s="39"/>
      <c r="O392" s="39"/>
      <c r="P392" s="39"/>
      <c r="Q392" s="39"/>
      <c r="R392" s="39"/>
      <c r="S392" s="39"/>
      <c r="T392" s="39"/>
      <c r="U392" s="39"/>
      <c r="V392" s="39"/>
      <c r="W392" s="39"/>
      <c r="X392" s="39"/>
      <c r="Y392" s="39"/>
      <c r="Z392" s="39"/>
    </row>
    <row r="393" spans="1:26" ht="16" x14ac:dyDescent="0.2">
      <c r="A393" s="34" t="s">
        <v>1</v>
      </c>
      <c r="B393" s="33" t="s">
        <v>1099</v>
      </c>
      <c r="C393" s="33"/>
      <c r="D393" s="33"/>
      <c r="E393" s="33"/>
      <c r="F393" s="33"/>
      <c r="G393" s="33"/>
      <c r="H393" s="33"/>
      <c r="J393" s="28">
        <v>0</v>
      </c>
      <c r="K393" s="19"/>
      <c r="M393" s="39"/>
      <c r="N393" s="39"/>
      <c r="O393" s="39"/>
      <c r="P393" s="39"/>
      <c r="Q393" s="39"/>
      <c r="R393" s="39"/>
      <c r="S393" s="39"/>
      <c r="T393" s="39"/>
      <c r="U393" s="39"/>
      <c r="V393" s="39"/>
      <c r="W393" s="39"/>
      <c r="X393" s="39"/>
      <c r="Y393" s="39"/>
      <c r="Z393" s="39"/>
    </row>
    <row r="394" spans="1:26" ht="16" x14ac:dyDescent="0.2">
      <c r="A394" s="42" t="s">
        <v>2</v>
      </c>
      <c r="B394" s="41" t="s">
        <v>536</v>
      </c>
      <c r="C394" s="41"/>
      <c r="D394" s="41"/>
      <c r="E394" s="41"/>
      <c r="F394" s="41"/>
      <c r="G394" s="41"/>
      <c r="H394" s="41"/>
      <c r="I394" s="40" t="s">
        <v>2154</v>
      </c>
      <c r="J394" s="28">
        <f>IF(ISNUMBER(SEARCH("x",I394)),1,0)</f>
        <v>1</v>
      </c>
      <c r="K394" s="19"/>
      <c r="M394" s="39"/>
      <c r="N394" s="39"/>
      <c r="O394" s="39"/>
      <c r="P394" s="39"/>
      <c r="Q394" s="39"/>
      <c r="R394" s="39"/>
      <c r="S394" s="39"/>
      <c r="T394" s="39"/>
      <c r="U394" s="39"/>
      <c r="V394" s="39"/>
      <c r="W394" s="39"/>
      <c r="X394" s="39"/>
      <c r="Y394" s="39"/>
      <c r="Z394" s="39"/>
    </row>
    <row r="395" spans="1:26" ht="16" x14ac:dyDescent="0.2">
      <c r="A395" s="34" t="s">
        <v>3</v>
      </c>
      <c r="B395" s="33" t="s">
        <v>1956</v>
      </c>
      <c r="C395" s="33"/>
      <c r="D395" s="33"/>
      <c r="E395" s="33"/>
      <c r="F395" s="33"/>
      <c r="G395" s="33"/>
      <c r="H395" s="33"/>
      <c r="J395" s="28">
        <v>0</v>
      </c>
      <c r="K395" s="19"/>
      <c r="M395" s="39"/>
      <c r="N395" s="39"/>
      <c r="O395" s="39"/>
      <c r="P395" s="39"/>
      <c r="Q395" s="39"/>
      <c r="R395" s="39"/>
      <c r="S395" s="39"/>
      <c r="T395" s="39"/>
      <c r="U395" s="39"/>
      <c r="V395" s="39"/>
      <c r="W395" s="39"/>
      <c r="X395" s="39"/>
      <c r="Y395" s="39"/>
      <c r="Z395" s="39"/>
    </row>
    <row r="396" spans="1:26" s="27" customFormat="1" x14ac:dyDescent="0.2"/>
    <row r="397" spans="1:26" x14ac:dyDescent="0.2">
      <c r="A397" s="37" t="s">
        <v>1978</v>
      </c>
      <c r="B397" s="37"/>
      <c r="C397" s="37"/>
      <c r="D397" s="37"/>
      <c r="E397" s="37"/>
      <c r="F397" s="37"/>
      <c r="G397" s="37"/>
      <c r="H397" s="37"/>
      <c r="I397" s="36" t="s">
        <v>1858</v>
      </c>
      <c r="M397" s="43" t="s">
        <v>2180</v>
      </c>
      <c r="N397" s="43"/>
      <c r="O397" s="43"/>
      <c r="P397" s="43"/>
      <c r="Q397" s="43"/>
      <c r="R397" s="43"/>
      <c r="S397" s="43"/>
      <c r="T397" s="43"/>
      <c r="U397" s="43"/>
      <c r="V397" s="43"/>
      <c r="W397" s="43"/>
      <c r="X397" s="43"/>
      <c r="Y397" s="43"/>
      <c r="Z397" s="43"/>
    </row>
    <row r="398" spans="1:26" x14ac:dyDescent="0.2">
      <c r="A398" s="35" t="s">
        <v>1977</v>
      </c>
      <c r="B398" s="35"/>
      <c r="C398" s="35"/>
      <c r="D398" s="35"/>
      <c r="E398" s="35"/>
      <c r="F398" s="35"/>
      <c r="G398" s="35"/>
      <c r="H398" s="35"/>
      <c r="I398" s="35"/>
      <c r="M398" s="43"/>
      <c r="N398" s="43"/>
      <c r="O398" s="43"/>
      <c r="P398" s="43"/>
      <c r="Q398" s="43"/>
      <c r="R398" s="43"/>
      <c r="S398" s="43"/>
      <c r="T398" s="43"/>
      <c r="U398" s="43"/>
      <c r="V398" s="43"/>
      <c r="W398" s="43"/>
      <c r="X398" s="43"/>
      <c r="Y398" s="43"/>
      <c r="Z398" s="43"/>
    </row>
    <row r="399" spans="1:26" x14ac:dyDescent="0.2">
      <c r="A399" s="35"/>
      <c r="B399" s="35"/>
      <c r="C399" s="35"/>
      <c r="D399" s="35"/>
      <c r="E399" s="35"/>
      <c r="F399" s="35"/>
      <c r="G399" s="35"/>
      <c r="H399" s="35"/>
      <c r="I399" s="35"/>
      <c r="M399" s="43"/>
      <c r="N399" s="43"/>
      <c r="O399" s="43"/>
      <c r="P399" s="43"/>
      <c r="Q399" s="43"/>
      <c r="R399" s="43"/>
      <c r="S399" s="43"/>
      <c r="T399" s="43"/>
      <c r="U399" s="43"/>
      <c r="V399" s="43"/>
      <c r="W399" s="43"/>
      <c r="X399" s="43"/>
      <c r="Y399" s="43"/>
      <c r="Z399" s="43"/>
    </row>
    <row r="400" spans="1:26" x14ac:dyDescent="0.2">
      <c r="A400" s="35"/>
      <c r="B400" s="35"/>
      <c r="C400" s="35"/>
      <c r="D400" s="35"/>
      <c r="E400" s="35"/>
      <c r="F400" s="35"/>
      <c r="G400" s="35"/>
      <c r="H400" s="35"/>
      <c r="I400" s="35"/>
      <c r="M400" s="43"/>
      <c r="N400" s="43"/>
      <c r="O400" s="43"/>
      <c r="P400" s="43"/>
      <c r="Q400" s="43"/>
      <c r="R400" s="43"/>
      <c r="S400" s="43"/>
      <c r="T400" s="43"/>
      <c r="U400" s="43"/>
      <c r="V400" s="43"/>
      <c r="W400" s="43"/>
      <c r="X400" s="43"/>
      <c r="Y400" s="43"/>
      <c r="Z400" s="43"/>
    </row>
    <row r="401" spans="1:26" x14ac:dyDescent="0.2">
      <c r="A401" s="35"/>
      <c r="B401" s="35"/>
      <c r="C401" s="35"/>
      <c r="D401" s="35"/>
      <c r="E401" s="35"/>
      <c r="F401" s="35"/>
      <c r="G401" s="35"/>
      <c r="H401" s="35"/>
      <c r="I401" s="35"/>
      <c r="M401" s="43"/>
      <c r="N401" s="43"/>
      <c r="O401" s="43"/>
      <c r="P401" s="43"/>
      <c r="Q401" s="43"/>
      <c r="R401" s="43"/>
      <c r="S401" s="43"/>
      <c r="T401" s="43"/>
      <c r="U401" s="43"/>
      <c r="V401" s="43"/>
      <c r="W401" s="43"/>
      <c r="X401" s="43"/>
      <c r="Y401" s="43"/>
      <c r="Z401" s="43"/>
    </row>
    <row r="402" spans="1:26" ht="16" x14ac:dyDescent="0.2">
      <c r="A402" s="34" t="s">
        <v>0</v>
      </c>
      <c r="B402" s="33" t="s">
        <v>1976</v>
      </c>
      <c r="C402" s="33"/>
      <c r="D402" s="33"/>
      <c r="E402" s="33"/>
      <c r="F402" s="33"/>
      <c r="G402" s="33"/>
      <c r="H402" s="33"/>
      <c r="J402" s="28">
        <f>IF(ISNUMBER(SEARCH("x",I402)),-0.5,0)</f>
        <v>0</v>
      </c>
      <c r="K402" s="19">
        <f>MAX(SUM(J402:J406),0)</f>
        <v>1</v>
      </c>
      <c r="M402" s="43"/>
      <c r="N402" s="43"/>
      <c r="O402" s="43"/>
      <c r="P402" s="43"/>
      <c r="Q402" s="43"/>
      <c r="R402" s="43"/>
      <c r="S402" s="43"/>
      <c r="T402" s="43"/>
      <c r="U402" s="43"/>
      <c r="V402" s="43"/>
      <c r="W402" s="43"/>
      <c r="X402" s="43"/>
      <c r="Y402" s="43"/>
      <c r="Z402" s="43"/>
    </row>
    <row r="403" spans="1:26" ht="16" x14ac:dyDescent="0.2">
      <c r="A403" s="34" t="s">
        <v>1</v>
      </c>
      <c r="B403" s="33" t="s">
        <v>1942</v>
      </c>
      <c r="C403" s="33"/>
      <c r="D403" s="33"/>
      <c r="E403" s="33"/>
      <c r="F403" s="33"/>
      <c r="G403" s="33"/>
      <c r="H403" s="33"/>
      <c r="J403" s="28">
        <f>IF(ISNUMBER(SEARCH("x",I403)),-0.5,0)</f>
        <v>0</v>
      </c>
      <c r="K403" s="19"/>
      <c r="M403" s="43"/>
      <c r="N403" s="43"/>
      <c r="O403" s="43"/>
      <c r="P403" s="43"/>
      <c r="Q403" s="43"/>
      <c r="R403" s="43"/>
      <c r="S403" s="43"/>
      <c r="T403" s="43"/>
      <c r="U403" s="43"/>
      <c r="V403" s="43"/>
      <c r="W403" s="43"/>
      <c r="X403" s="43"/>
      <c r="Y403" s="43"/>
      <c r="Z403" s="43"/>
    </row>
    <row r="404" spans="1:26" ht="16" x14ac:dyDescent="0.2">
      <c r="A404" s="42" t="s">
        <v>2</v>
      </c>
      <c r="B404" s="41" t="s">
        <v>621</v>
      </c>
      <c r="C404" s="41"/>
      <c r="D404" s="41"/>
      <c r="E404" s="41"/>
      <c r="F404" s="41"/>
      <c r="G404" s="41"/>
      <c r="H404" s="41"/>
      <c r="I404" s="40" t="s">
        <v>2154</v>
      </c>
      <c r="J404" s="28">
        <f>IF(ISNUMBER(SEARCH("x",I404)),0.5,0)</f>
        <v>0.5</v>
      </c>
      <c r="K404" s="19"/>
      <c r="M404" s="43"/>
      <c r="N404" s="43"/>
      <c r="O404" s="43"/>
      <c r="P404" s="43"/>
      <c r="Q404" s="43"/>
      <c r="R404" s="43"/>
      <c r="S404" s="43"/>
      <c r="T404" s="43"/>
      <c r="U404" s="43"/>
      <c r="V404" s="43"/>
      <c r="W404" s="43"/>
      <c r="X404" s="43"/>
      <c r="Y404" s="43"/>
      <c r="Z404" s="43"/>
    </row>
    <row r="405" spans="1:26" ht="16" x14ac:dyDescent="0.2">
      <c r="A405" s="42" t="s">
        <v>3</v>
      </c>
      <c r="B405" s="41" t="s">
        <v>761</v>
      </c>
      <c r="C405" s="41"/>
      <c r="D405" s="41"/>
      <c r="E405" s="41"/>
      <c r="F405" s="41"/>
      <c r="G405" s="41"/>
      <c r="H405" s="41"/>
      <c r="I405" s="40" t="s">
        <v>2154</v>
      </c>
      <c r="J405" s="28">
        <f>IF(ISNUMBER(SEARCH("x",I405)),0.5,0)</f>
        <v>0.5</v>
      </c>
      <c r="K405" s="19"/>
      <c r="M405" s="43"/>
      <c r="N405" s="43"/>
      <c r="O405" s="43"/>
      <c r="P405" s="43"/>
      <c r="Q405" s="43"/>
      <c r="R405" s="43"/>
      <c r="S405" s="43"/>
      <c r="T405" s="43"/>
      <c r="U405" s="43"/>
      <c r="V405" s="43"/>
      <c r="W405" s="43"/>
      <c r="X405" s="43"/>
      <c r="Y405" s="43"/>
      <c r="Z405" s="43"/>
    </row>
    <row r="406" spans="1:26" ht="16" x14ac:dyDescent="0.2">
      <c r="A406" s="34" t="s">
        <v>6</v>
      </c>
      <c r="B406" s="33" t="s">
        <v>5</v>
      </c>
      <c r="C406" s="33"/>
      <c r="D406" s="33"/>
      <c r="E406" s="33"/>
      <c r="F406" s="33"/>
      <c r="G406" s="33"/>
      <c r="H406" s="33"/>
      <c r="J406" s="28">
        <f>IF(ISNUMBER(SEARCH("x",I406)),-0.5,0)</f>
        <v>0</v>
      </c>
      <c r="K406" s="19"/>
      <c r="M406" s="43"/>
      <c r="N406" s="43"/>
      <c r="O406" s="43"/>
      <c r="P406" s="43"/>
      <c r="Q406" s="43"/>
      <c r="R406" s="43"/>
      <c r="S406" s="43"/>
      <c r="T406" s="43"/>
      <c r="U406" s="43"/>
      <c r="V406" s="43"/>
      <c r="W406" s="43"/>
      <c r="X406" s="43"/>
      <c r="Y406" s="43"/>
      <c r="Z406" s="43"/>
    </row>
    <row r="407" spans="1:26" s="27" customFormat="1" x14ac:dyDescent="0.2"/>
    <row r="408" spans="1:26" x14ac:dyDescent="0.2">
      <c r="A408" s="37" t="s">
        <v>1975</v>
      </c>
      <c r="B408" s="37"/>
      <c r="C408" s="37"/>
      <c r="D408" s="37"/>
      <c r="E408" s="37"/>
      <c r="F408" s="37"/>
      <c r="G408" s="37"/>
      <c r="H408" s="37"/>
      <c r="I408" s="36" t="s">
        <v>1858</v>
      </c>
      <c r="M408" s="43" t="s">
        <v>2179</v>
      </c>
      <c r="N408" s="39"/>
      <c r="O408" s="39"/>
      <c r="P408" s="39"/>
      <c r="Q408" s="39"/>
      <c r="R408" s="39"/>
      <c r="S408" s="39"/>
      <c r="T408" s="39"/>
      <c r="U408" s="39"/>
      <c r="V408" s="39"/>
      <c r="W408" s="39"/>
      <c r="X408" s="39"/>
      <c r="Y408" s="39"/>
      <c r="Z408" s="39"/>
    </row>
    <row r="409" spans="1:26" x14ac:dyDescent="0.2">
      <c r="A409" s="35" t="s">
        <v>1974</v>
      </c>
      <c r="B409" s="35"/>
      <c r="C409" s="35"/>
      <c r="D409" s="35"/>
      <c r="E409" s="35"/>
      <c r="F409" s="35"/>
      <c r="G409" s="35"/>
      <c r="H409" s="35"/>
      <c r="I409" s="35"/>
      <c r="M409" s="39"/>
      <c r="N409" s="39"/>
      <c r="O409" s="39"/>
      <c r="P409" s="39"/>
      <c r="Q409" s="39"/>
      <c r="R409" s="39"/>
      <c r="S409" s="39"/>
      <c r="T409" s="39"/>
      <c r="U409" s="39"/>
      <c r="V409" s="39"/>
      <c r="W409" s="39"/>
      <c r="X409" s="39"/>
      <c r="Y409" s="39"/>
      <c r="Z409" s="39"/>
    </row>
    <row r="410" spans="1:26" x14ac:dyDescent="0.2">
      <c r="A410" s="35"/>
      <c r="B410" s="35"/>
      <c r="C410" s="35"/>
      <c r="D410" s="35"/>
      <c r="E410" s="35"/>
      <c r="F410" s="35"/>
      <c r="G410" s="35"/>
      <c r="H410" s="35"/>
      <c r="I410" s="35"/>
      <c r="M410" s="39"/>
      <c r="N410" s="39"/>
      <c r="O410" s="39"/>
      <c r="P410" s="39"/>
      <c r="Q410" s="39"/>
      <c r="R410" s="39"/>
      <c r="S410" s="39"/>
      <c r="T410" s="39"/>
      <c r="U410" s="39"/>
      <c r="V410" s="39"/>
      <c r="W410" s="39"/>
      <c r="X410" s="39"/>
      <c r="Y410" s="39"/>
      <c r="Z410" s="39"/>
    </row>
    <row r="411" spans="1:26" x14ac:dyDescent="0.2">
      <c r="A411" s="35"/>
      <c r="B411" s="35"/>
      <c r="C411" s="35"/>
      <c r="D411" s="35"/>
      <c r="E411" s="35"/>
      <c r="F411" s="35"/>
      <c r="G411" s="35"/>
      <c r="H411" s="35"/>
      <c r="I411" s="35"/>
      <c r="M411" s="39"/>
      <c r="N411" s="39"/>
      <c r="O411" s="39"/>
      <c r="P411" s="39"/>
      <c r="Q411" s="39"/>
      <c r="R411" s="39"/>
      <c r="S411" s="39"/>
      <c r="T411" s="39"/>
      <c r="U411" s="39"/>
      <c r="V411" s="39"/>
      <c r="W411" s="39"/>
      <c r="X411" s="39"/>
      <c r="Y411" s="39"/>
      <c r="Z411" s="39"/>
    </row>
    <row r="412" spans="1:26" ht="60.5" customHeight="1" x14ac:dyDescent="0.2">
      <c r="A412" s="35"/>
      <c r="B412" s="35"/>
      <c r="C412" s="35"/>
      <c r="D412" s="35"/>
      <c r="E412" s="35"/>
      <c r="F412" s="35"/>
      <c r="G412" s="35"/>
      <c r="H412" s="35"/>
      <c r="I412" s="35"/>
      <c r="M412" s="39"/>
      <c r="N412" s="39"/>
      <c r="O412" s="39"/>
      <c r="P412" s="39"/>
      <c r="Q412" s="39"/>
      <c r="R412" s="39"/>
      <c r="S412" s="39"/>
      <c r="T412" s="39"/>
      <c r="U412" s="39"/>
      <c r="V412" s="39"/>
      <c r="W412" s="39"/>
      <c r="X412" s="39"/>
      <c r="Y412" s="39"/>
      <c r="Z412" s="39"/>
    </row>
    <row r="413" spans="1:26" ht="16" x14ac:dyDescent="0.2">
      <c r="A413" s="34" t="s">
        <v>0</v>
      </c>
      <c r="B413" s="33" t="s">
        <v>1973</v>
      </c>
      <c r="C413" s="33"/>
      <c r="D413" s="33"/>
      <c r="E413" s="33"/>
      <c r="F413" s="33"/>
      <c r="G413" s="33"/>
      <c r="H413" s="33"/>
      <c r="J413" s="28">
        <v>0</v>
      </c>
      <c r="K413" s="19">
        <f>SUM(J413:J416)</f>
        <v>1</v>
      </c>
      <c r="M413" s="39"/>
      <c r="N413" s="39"/>
      <c r="O413" s="39"/>
      <c r="P413" s="39"/>
      <c r="Q413" s="39"/>
      <c r="R413" s="39"/>
      <c r="S413" s="39"/>
      <c r="T413" s="39"/>
      <c r="U413" s="39"/>
      <c r="V413" s="39"/>
      <c r="W413" s="39"/>
      <c r="X413" s="39"/>
      <c r="Y413" s="39"/>
      <c r="Z413" s="39"/>
    </row>
    <row r="414" spans="1:26" ht="16" x14ac:dyDescent="0.2">
      <c r="A414" s="42" t="s">
        <v>1</v>
      </c>
      <c r="B414" s="41" t="s">
        <v>1972</v>
      </c>
      <c r="C414" s="41"/>
      <c r="D414" s="41"/>
      <c r="E414" s="41"/>
      <c r="F414" s="41"/>
      <c r="G414" s="41"/>
      <c r="H414" s="41"/>
      <c r="I414" s="40" t="s">
        <v>2154</v>
      </c>
      <c r="J414" s="28">
        <f>IF(ISNUMBER(SEARCH("x",I414)),1,0)</f>
        <v>1</v>
      </c>
      <c r="K414" s="19"/>
      <c r="M414" s="39"/>
      <c r="N414" s="39"/>
      <c r="O414" s="39"/>
      <c r="P414" s="39"/>
      <c r="Q414" s="39"/>
      <c r="R414" s="39"/>
      <c r="S414" s="39"/>
      <c r="T414" s="39"/>
      <c r="U414" s="39"/>
      <c r="V414" s="39"/>
      <c r="W414" s="39"/>
      <c r="X414" s="39"/>
      <c r="Y414" s="39"/>
      <c r="Z414" s="39"/>
    </row>
    <row r="415" spans="1:26" ht="16" x14ac:dyDescent="0.2">
      <c r="A415" s="34" t="s">
        <v>2</v>
      </c>
      <c r="B415" s="33" t="s">
        <v>1971</v>
      </c>
      <c r="C415" s="33"/>
      <c r="D415" s="33"/>
      <c r="E415" s="33"/>
      <c r="F415" s="33"/>
      <c r="G415" s="33"/>
      <c r="H415" s="33"/>
      <c r="J415" s="38">
        <v>0</v>
      </c>
      <c r="K415" s="19"/>
      <c r="M415" s="39"/>
      <c r="N415" s="39"/>
      <c r="O415" s="39"/>
      <c r="P415" s="39"/>
      <c r="Q415" s="39"/>
      <c r="R415" s="39"/>
      <c r="S415" s="39"/>
      <c r="T415" s="39"/>
      <c r="U415" s="39"/>
      <c r="V415" s="39"/>
      <c r="W415" s="39"/>
      <c r="X415" s="39"/>
      <c r="Y415" s="39"/>
      <c r="Z415" s="39"/>
    </row>
    <row r="416" spans="1:26" ht="28.75" customHeight="1" x14ac:dyDescent="0.2">
      <c r="A416" s="34" t="s">
        <v>3</v>
      </c>
      <c r="B416" s="33" t="s">
        <v>1970</v>
      </c>
      <c r="C416" s="33"/>
      <c r="D416" s="33"/>
      <c r="E416" s="33"/>
      <c r="F416" s="33"/>
      <c r="G416" s="33"/>
      <c r="H416" s="33"/>
      <c r="J416" s="28">
        <v>0</v>
      </c>
      <c r="K416" s="19"/>
      <c r="M416" s="39"/>
      <c r="N416" s="39"/>
      <c r="O416" s="39"/>
      <c r="P416" s="39"/>
      <c r="Q416" s="39"/>
      <c r="R416" s="39"/>
      <c r="S416" s="39"/>
      <c r="T416" s="39"/>
      <c r="U416" s="39"/>
      <c r="V416" s="39"/>
      <c r="W416" s="39"/>
      <c r="X416" s="39"/>
      <c r="Y416" s="39"/>
      <c r="Z416" s="39"/>
    </row>
    <row r="417" spans="1:26" s="27" customFormat="1" x14ac:dyDescent="0.2"/>
    <row r="418" spans="1:26" x14ac:dyDescent="0.2">
      <c r="A418" s="37" t="s">
        <v>1969</v>
      </c>
      <c r="B418" s="37"/>
      <c r="C418" s="37"/>
      <c r="D418" s="37"/>
      <c r="E418" s="37"/>
      <c r="F418" s="37"/>
      <c r="G418" s="37"/>
      <c r="H418" s="37"/>
      <c r="I418" s="36" t="s">
        <v>1858</v>
      </c>
      <c r="M418" s="43" t="s">
        <v>2178</v>
      </c>
      <c r="N418" s="39"/>
      <c r="O418" s="39"/>
      <c r="P418" s="39"/>
      <c r="Q418" s="39"/>
      <c r="R418" s="39"/>
      <c r="S418" s="39"/>
      <c r="T418" s="39"/>
      <c r="U418" s="39"/>
      <c r="V418" s="39"/>
      <c r="W418" s="39"/>
      <c r="X418" s="39"/>
      <c r="Y418" s="39"/>
      <c r="Z418" s="39"/>
    </row>
    <row r="419" spans="1:26" x14ac:dyDescent="0.2">
      <c r="A419" s="35" t="s">
        <v>1968</v>
      </c>
      <c r="B419" s="35"/>
      <c r="C419" s="35"/>
      <c r="D419" s="35"/>
      <c r="E419" s="35"/>
      <c r="F419" s="35"/>
      <c r="G419" s="35"/>
      <c r="H419" s="35"/>
      <c r="I419" s="35"/>
      <c r="M419" s="39"/>
      <c r="N419" s="39"/>
      <c r="O419" s="39"/>
      <c r="P419" s="39"/>
      <c r="Q419" s="39"/>
      <c r="R419" s="39"/>
      <c r="S419" s="39"/>
      <c r="T419" s="39"/>
      <c r="U419" s="39"/>
      <c r="V419" s="39"/>
      <c r="W419" s="39"/>
      <c r="X419" s="39"/>
      <c r="Y419" s="39"/>
      <c r="Z419" s="39"/>
    </row>
    <row r="420" spans="1:26" x14ac:dyDescent="0.2">
      <c r="A420" s="35"/>
      <c r="B420" s="35"/>
      <c r="C420" s="35"/>
      <c r="D420" s="35"/>
      <c r="E420" s="35"/>
      <c r="F420" s="35"/>
      <c r="G420" s="35"/>
      <c r="H420" s="35"/>
      <c r="I420" s="35"/>
      <c r="M420" s="39"/>
      <c r="N420" s="39"/>
      <c r="O420" s="39"/>
      <c r="P420" s="39"/>
      <c r="Q420" s="39"/>
      <c r="R420" s="39"/>
      <c r="S420" s="39"/>
      <c r="T420" s="39"/>
      <c r="U420" s="39"/>
      <c r="V420" s="39"/>
      <c r="W420" s="39"/>
      <c r="X420" s="39"/>
      <c r="Y420" s="39"/>
      <c r="Z420" s="39"/>
    </row>
    <row r="421" spans="1:26" x14ac:dyDescent="0.2">
      <c r="A421" s="35"/>
      <c r="B421" s="35"/>
      <c r="C421" s="35"/>
      <c r="D421" s="35"/>
      <c r="E421" s="35"/>
      <c r="F421" s="35"/>
      <c r="G421" s="35"/>
      <c r="H421" s="35"/>
      <c r="I421" s="35"/>
      <c r="M421" s="39"/>
      <c r="N421" s="39"/>
      <c r="O421" s="39"/>
      <c r="P421" s="39"/>
      <c r="Q421" s="39"/>
      <c r="R421" s="39"/>
      <c r="S421" s="39"/>
      <c r="T421" s="39"/>
      <c r="U421" s="39"/>
      <c r="V421" s="39"/>
      <c r="W421" s="39"/>
      <c r="X421" s="39"/>
      <c r="Y421" s="39"/>
      <c r="Z421" s="39"/>
    </row>
    <row r="422" spans="1:26" ht="101.5" customHeight="1" x14ac:dyDescent="0.2">
      <c r="A422" s="35"/>
      <c r="B422" s="35"/>
      <c r="C422" s="35"/>
      <c r="D422" s="35"/>
      <c r="E422" s="35"/>
      <c r="F422" s="35"/>
      <c r="G422" s="35"/>
      <c r="H422" s="35"/>
      <c r="I422" s="35"/>
      <c r="M422" s="39"/>
      <c r="N422" s="39"/>
      <c r="O422" s="39"/>
      <c r="P422" s="39"/>
      <c r="Q422" s="39"/>
      <c r="R422" s="39"/>
      <c r="S422" s="39"/>
      <c r="T422" s="39"/>
      <c r="U422" s="39"/>
      <c r="V422" s="39"/>
      <c r="W422" s="39"/>
      <c r="X422" s="39"/>
      <c r="Y422" s="39"/>
      <c r="Z422" s="39"/>
    </row>
    <row r="423" spans="1:26" ht="16" x14ac:dyDescent="0.2">
      <c r="A423" s="34" t="s">
        <v>0</v>
      </c>
      <c r="B423" s="33" t="s">
        <v>1967</v>
      </c>
      <c r="C423" s="33"/>
      <c r="D423" s="33"/>
      <c r="E423" s="33"/>
      <c r="F423" s="33"/>
      <c r="G423" s="33"/>
      <c r="H423" s="33"/>
      <c r="J423" s="28">
        <v>0</v>
      </c>
      <c r="K423" s="19">
        <f>SUM(J423:J426)</f>
        <v>1</v>
      </c>
      <c r="M423" s="39"/>
      <c r="N423" s="39"/>
      <c r="O423" s="39"/>
      <c r="P423" s="39"/>
      <c r="Q423" s="39"/>
      <c r="R423" s="39"/>
      <c r="S423" s="39"/>
      <c r="T423" s="39"/>
      <c r="U423" s="39"/>
      <c r="V423" s="39"/>
      <c r="W423" s="39"/>
      <c r="X423" s="39"/>
      <c r="Y423" s="39"/>
      <c r="Z423" s="39"/>
    </row>
    <row r="424" spans="1:26" ht="16" x14ac:dyDescent="0.2">
      <c r="A424" s="42" t="s">
        <v>1</v>
      </c>
      <c r="B424" s="41" t="s">
        <v>1966</v>
      </c>
      <c r="C424" s="41"/>
      <c r="D424" s="41"/>
      <c r="E424" s="41"/>
      <c r="F424" s="41"/>
      <c r="G424" s="41"/>
      <c r="H424" s="41"/>
      <c r="I424" s="40" t="s">
        <v>2154</v>
      </c>
      <c r="J424" s="28">
        <f>IF(ISNUMBER(SEARCH("x",I424)),1,0)</f>
        <v>1</v>
      </c>
      <c r="K424" s="19"/>
      <c r="M424" s="39"/>
      <c r="N424" s="39"/>
      <c r="O424" s="39"/>
      <c r="P424" s="39"/>
      <c r="Q424" s="39"/>
      <c r="R424" s="39"/>
      <c r="S424" s="39"/>
      <c r="T424" s="39"/>
      <c r="U424" s="39"/>
      <c r="V424" s="39"/>
      <c r="W424" s="39"/>
      <c r="X424" s="39"/>
      <c r="Y424" s="39"/>
      <c r="Z424" s="39"/>
    </row>
    <row r="425" spans="1:26" ht="16" x14ac:dyDescent="0.2">
      <c r="A425" s="34" t="s">
        <v>2</v>
      </c>
      <c r="B425" s="33" t="s">
        <v>1965</v>
      </c>
      <c r="C425" s="33"/>
      <c r="D425" s="33"/>
      <c r="E425" s="33"/>
      <c r="F425" s="33"/>
      <c r="G425" s="33"/>
      <c r="H425" s="33"/>
      <c r="J425" s="38">
        <v>0</v>
      </c>
      <c r="K425" s="19"/>
      <c r="M425" s="39"/>
      <c r="N425" s="39"/>
      <c r="O425" s="39"/>
      <c r="P425" s="39"/>
      <c r="Q425" s="39"/>
      <c r="R425" s="39"/>
      <c r="S425" s="39"/>
      <c r="T425" s="39"/>
      <c r="U425" s="39"/>
      <c r="V425" s="39"/>
      <c r="W425" s="39"/>
      <c r="X425" s="39"/>
      <c r="Y425" s="39"/>
      <c r="Z425" s="39"/>
    </row>
    <row r="426" spans="1:26" ht="16" x14ac:dyDescent="0.2">
      <c r="A426" s="34" t="s">
        <v>3</v>
      </c>
      <c r="B426" s="33" t="s">
        <v>1964</v>
      </c>
      <c r="C426" s="33"/>
      <c r="D426" s="33"/>
      <c r="E426" s="33"/>
      <c r="F426" s="33"/>
      <c r="G426" s="33"/>
      <c r="H426" s="33"/>
      <c r="J426" s="28">
        <v>0</v>
      </c>
      <c r="K426" s="19"/>
      <c r="M426" s="39"/>
      <c r="N426" s="39"/>
      <c r="O426" s="39"/>
      <c r="P426" s="39"/>
      <c r="Q426" s="39"/>
      <c r="R426" s="39"/>
      <c r="S426" s="39"/>
      <c r="T426" s="39"/>
      <c r="U426" s="39"/>
      <c r="V426" s="39"/>
      <c r="W426" s="39"/>
      <c r="X426" s="39"/>
      <c r="Y426" s="39"/>
      <c r="Z426" s="39"/>
    </row>
    <row r="427" spans="1:26" s="27" customFormat="1" x14ac:dyDescent="0.2"/>
    <row r="428" spans="1:26" x14ac:dyDescent="0.2">
      <c r="A428" s="37" t="s">
        <v>1963</v>
      </c>
      <c r="B428" s="37"/>
      <c r="C428" s="37"/>
      <c r="D428" s="37"/>
      <c r="E428" s="37"/>
      <c r="F428" s="37"/>
      <c r="G428" s="37"/>
      <c r="H428" s="37"/>
      <c r="I428" s="36" t="s">
        <v>1858</v>
      </c>
      <c r="M428" s="43" t="s">
        <v>2177</v>
      </c>
      <c r="N428" s="43"/>
      <c r="O428" s="43"/>
      <c r="P428" s="43"/>
      <c r="Q428" s="43"/>
      <c r="R428" s="43"/>
      <c r="S428" s="43"/>
      <c r="T428" s="43"/>
      <c r="U428" s="43"/>
      <c r="V428" s="43"/>
      <c r="W428" s="43"/>
      <c r="X428" s="43"/>
      <c r="Y428" s="43"/>
      <c r="Z428" s="43"/>
    </row>
    <row r="429" spans="1:26" x14ac:dyDescent="0.2">
      <c r="A429" s="35" t="s">
        <v>1962</v>
      </c>
      <c r="B429" s="35"/>
      <c r="C429" s="35"/>
      <c r="D429" s="35"/>
      <c r="E429" s="35"/>
      <c r="F429" s="35"/>
      <c r="G429" s="35"/>
      <c r="H429" s="35"/>
      <c r="I429" s="35"/>
      <c r="M429" s="43"/>
      <c r="N429" s="43"/>
      <c r="O429" s="43"/>
      <c r="P429" s="43"/>
      <c r="Q429" s="43"/>
      <c r="R429" s="43"/>
      <c r="S429" s="43"/>
      <c r="T429" s="43"/>
      <c r="U429" s="43"/>
      <c r="V429" s="43"/>
      <c r="W429" s="43"/>
      <c r="X429" s="43"/>
      <c r="Y429" s="43"/>
      <c r="Z429" s="43"/>
    </row>
    <row r="430" spans="1:26" x14ac:dyDescent="0.2">
      <c r="A430" s="35"/>
      <c r="B430" s="35"/>
      <c r="C430" s="35"/>
      <c r="D430" s="35"/>
      <c r="E430" s="35"/>
      <c r="F430" s="35"/>
      <c r="G430" s="35"/>
      <c r="H430" s="35"/>
      <c r="I430" s="35"/>
      <c r="M430" s="43"/>
      <c r="N430" s="43"/>
      <c r="O430" s="43"/>
      <c r="P430" s="43"/>
      <c r="Q430" s="43"/>
      <c r="R430" s="43"/>
      <c r="S430" s="43"/>
      <c r="T430" s="43"/>
      <c r="U430" s="43"/>
      <c r="V430" s="43"/>
      <c r="W430" s="43"/>
      <c r="X430" s="43"/>
      <c r="Y430" s="43"/>
      <c r="Z430" s="43"/>
    </row>
    <row r="431" spans="1:26" x14ac:dyDescent="0.2">
      <c r="A431" s="35"/>
      <c r="B431" s="35"/>
      <c r="C431" s="35"/>
      <c r="D431" s="35"/>
      <c r="E431" s="35"/>
      <c r="F431" s="35"/>
      <c r="G431" s="35"/>
      <c r="H431" s="35"/>
      <c r="I431" s="35"/>
      <c r="M431" s="43"/>
      <c r="N431" s="43"/>
      <c r="O431" s="43"/>
      <c r="P431" s="43"/>
      <c r="Q431" s="43"/>
      <c r="R431" s="43"/>
      <c r="S431" s="43"/>
      <c r="T431" s="43"/>
      <c r="U431" s="43"/>
      <c r="V431" s="43"/>
      <c r="W431" s="43"/>
      <c r="X431" s="43"/>
      <c r="Y431" s="43"/>
      <c r="Z431" s="43"/>
    </row>
    <row r="432" spans="1:26" ht="199.25" customHeight="1" x14ac:dyDescent="0.2">
      <c r="A432" s="35"/>
      <c r="B432" s="35"/>
      <c r="C432" s="35"/>
      <c r="D432" s="35"/>
      <c r="E432" s="35"/>
      <c r="F432" s="35"/>
      <c r="G432" s="35"/>
      <c r="H432" s="35"/>
      <c r="I432" s="35"/>
      <c r="M432" s="43"/>
      <c r="N432" s="43"/>
      <c r="O432" s="43"/>
      <c r="P432" s="43"/>
      <c r="Q432" s="43"/>
      <c r="R432" s="43"/>
      <c r="S432" s="43"/>
      <c r="T432" s="43"/>
      <c r="U432" s="43"/>
      <c r="V432" s="43"/>
      <c r="W432" s="43"/>
      <c r="X432" s="43"/>
      <c r="Y432" s="43"/>
      <c r="Z432" s="43"/>
    </row>
    <row r="433" spans="1:26" ht="16" x14ac:dyDescent="0.2">
      <c r="A433" s="34" t="s">
        <v>0</v>
      </c>
      <c r="B433" s="33" t="s">
        <v>1251</v>
      </c>
      <c r="C433" s="33"/>
      <c r="D433" s="33"/>
      <c r="E433" s="33"/>
      <c r="F433" s="33"/>
      <c r="G433" s="33"/>
      <c r="H433" s="33"/>
      <c r="J433" s="28">
        <f>IF(ISNUMBER(SEARCH("x",I433)),-0.5,0)</f>
        <v>0</v>
      </c>
      <c r="K433" s="19">
        <f>MAX(SUM(J433:J437),0)</f>
        <v>1</v>
      </c>
      <c r="M433" s="43"/>
      <c r="N433" s="43"/>
      <c r="O433" s="43"/>
      <c r="P433" s="43"/>
      <c r="Q433" s="43"/>
      <c r="R433" s="43"/>
      <c r="S433" s="43"/>
      <c r="T433" s="43"/>
      <c r="U433" s="43"/>
      <c r="V433" s="43"/>
      <c r="W433" s="43"/>
      <c r="X433" s="43"/>
      <c r="Y433" s="43"/>
      <c r="Z433" s="43"/>
    </row>
    <row r="434" spans="1:26" ht="16" x14ac:dyDescent="0.2">
      <c r="A434" s="34" t="s">
        <v>1</v>
      </c>
      <c r="B434" s="33" t="s">
        <v>809</v>
      </c>
      <c r="C434" s="33"/>
      <c r="D434" s="33"/>
      <c r="E434" s="33"/>
      <c r="F434" s="33"/>
      <c r="G434" s="33"/>
      <c r="H434" s="33"/>
      <c r="J434" s="28">
        <f>IF(ISNUMBER(SEARCH("x",I434)),-0.5,0)</f>
        <v>0</v>
      </c>
      <c r="K434" s="19"/>
      <c r="M434" s="43"/>
      <c r="N434" s="43"/>
      <c r="O434" s="43"/>
      <c r="P434" s="43"/>
      <c r="Q434" s="43"/>
      <c r="R434" s="43"/>
      <c r="S434" s="43"/>
      <c r="T434" s="43"/>
      <c r="U434" s="43"/>
      <c r="V434" s="43"/>
      <c r="W434" s="43"/>
      <c r="X434" s="43"/>
      <c r="Y434" s="43"/>
      <c r="Z434" s="43"/>
    </row>
    <row r="435" spans="1:26" ht="16" x14ac:dyDescent="0.2">
      <c r="A435" s="42" t="s">
        <v>2</v>
      </c>
      <c r="B435" s="41" t="s">
        <v>1961</v>
      </c>
      <c r="C435" s="41"/>
      <c r="D435" s="41"/>
      <c r="E435" s="41"/>
      <c r="F435" s="41"/>
      <c r="G435" s="41"/>
      <c r="H435" s="41"/>
      <c r="I435" s="40" t="s">
        <v>2154</v>
      </c>
      <c r="J435" s="28">
        <f>IF(ISNUMBER(SEARCH("x",I435)),0.5,0)</f>
        <v>0.5</v>
      </c>
      <c r="K435" s="19"/>
      <c r="M435" s="43"/>
      <c r="N435" s="43"/>
      <c r="O435" s="43"/>
      <c r="P435" s="43"/>
      <c r="Q435" s="43"/>
      <c r="R435" s="43"/>
      <c r="S435" s="43"/>
      <c r="T435" s="43"/>
      <c r="U435" s="43"/>
      <c r="V435" s="43"/>
      <c r="W435" s="43"/>
      <c r="X435" s="43"/>
      <c r="Y435" s="43"/>
      <c r="Z435" s="43"/>
    </row>
    <row r="436" spans="1:26" ht="16" x14ac:dyDescent="0.2">
      <c r="A436" s="34" t="s">
        <v>3</v>
      </c>
      <c r="B436" s="33" t="s">
        <v>1960</v>
      </c>
      <c r="C436" s="33"/>
      <c r="D436" s="33"/>
      <c r="E436" s="33"/>
      <c r="F436" s="33"/>
      <c r="G436" s="33"/>
      <c r="H436" s="33"/>
      <c r="J436" s="28">
        <f>IF(ISNUMBER(SEARCH("x",I436)),-0.5,0)</f>
        <v>0</v>
      </c>
      <c r="K436" s="19"/>
      <c r="M436" s="43"/>
      <c r="N436" s="43"/>
      <c r="O436" s="43"/>
      <c r="P436" s="43"/>
      <c r="Q436" s="43"/>
      <c r="R436" s="43"/>
      <c r="S436" s="43"/>
      <c r="T436" s="43"/>
      <c r="U436" s="43"/>
      <c r="V436" s="43"/>
      <c r="W436" s="43"/>
      <c r="X436" s="43"/>
      <c r="Y436" s="43"/>
      <c r="Z436" s="43"/>
    </row>
    <row r="437" spans="1:26" ht="16" x14ac:dyDescent="0.2">
      <c r="A437" s="42" t="s">
        <v>6</v>
      </c>
      <c r="B437" s="41" t="s">
        <v>1959</v>
      </c>
      <c r="C437" s="41"/>
      <c r="D437" s="41"/>
      <c r="E437" s="41"/>
      <c r="F437" s="41"/>
      <c r="G437" s="41"/>
      <c r="H437" s="41"/>
      <c r="I437" s="40" t="s">
        <v>2154</v>
      </c>
      <c r="J437" s="28">
        <f>IF(ISNUMBER(SEARCH("x",I437)),0.5,0)</f>
        <v>0.5</v>
      </c>
      <c r="K437" s="19"/>
      <c r="M437" s="43"/>
      <c r="N437" s="43"/>
      <c r="O437" s="43"/>
      <c r="P437" s="43"/>
      <c r="Q437" s="43"/>
      <c r="R437" s="43"/>
      <c r="S437" s="43"/>
      <c r="T437" s="43"/>
      <c r="U437" s="43"/>
      <c r="V437" s="43"/>
      <c r="W437" s="43"/>
      <c r="X437" s="43"/>
      <c r="Y437" s="43"/>
      <c r="Z437" s="43"/>
    </row>
    <row r="438" spans="1:26" s="27" customFormat="1" x14ac:dyDescent="0.2"/>
    <row r="439" spans="1:26" x14ac:dyDescent="0.2">
      <c r="A439" s="37" t="s">
        <v>1958</v>
      </c>
      <c r="B439" s="37"/>
      <c r="C439" s="37"/>
      <c r="D439" s="37"/>
      <c r="E439" s="37"/>
      <c r="F439" s="37"/>
      <c r="G439" s="37"/>
      <c r="H439" s="37"/>
      <c r="I439" s="36" t="s">
        <v>1858</v>
      </c>
      <c r="M439" s="43" t="s">
        <v>2176</v>
      </c>
      <c r="N439" s="39"/>
      <c r="O439" s="39"/>
      <c r="P439" s="39"/>
      <c r="Q439" s="39"/>
      <c r="R439" s="39"/>
      <c r="S439" s="39"/>
      <c r="T439" s="39"/>
      <c r="U439" s="39"/>
      <c r="V439" s="39"/>
      <c r="W439" s="39"/>
      <c r="X439" s="39"/>
      <c r="Y439" s="39"/>
      <c r="Z439" s="39"/>
    </row>
    <row r="440" spans="1:26" x14ac:dyDescent="0.2">
      <c r="A440" s="35" t="s">
        <v>1957</v>
      </c>
      <c r="B440" s="35"/>
      <c r="C440" s="35"/>
      <c r="D440" s="35"/>
      <c r="E440" s="35"/>
      <c r="F440" s="35"/>
      <c r="G440" s="35"/>
      <c r="H440" s="35"/>
      <c r="I440" s="35"/>
      <c r="M440" s="39"/>
      <c r="N440" s="39"/>
      <c r="O440" s="39"/>
      <c r="P440" s="39"/>
      <c r="Q440" s="39"/>
      <c r="R440" s="39"/>
      <c r="S440" s="39"/>
      <c r="T440" s="39"/>
      <c r="U440" s="39"/>
      <c r="V440" s="39"/>
      <c r="W440" s="39"/>
      <c r="X440" s="39"/>
      <c r="Y440" s="39"/>
      <c r="Z440" s="39"/>
    </row>
    <row r="441" spans="1:26" x14ac:dyDescent="0.2">
      <c r="A441" s="35"/>
      <c r="B441" s="35"/>
      <c r="C441" s="35"/>
      <c r="D441" s="35"/>
      <c r="E441" s="35"/>
      <c r="F441" s="35"/>
      <c r="G441" s="35"/>
      <c r="H441" s="35"/>
      <c r="I441" s="35"/>
      <c r="M441" s="39"/>
      <c r="N441" s="39"/>
      <c r="O441" s="39"/>
      <c r="P441" s="39"/>
      <c r="Q441" s="39"/>
      <c r="R441" s="39"/>
      <c r="S441" s="39"/>
      <c r="T441" s="39"/>
      <c r="U441" s="39"/>
      <c r="V441" s="39"/>
      <c r="W441" s="39"/>
      <c r="X441" s="39"/>
      <c r="Y441" s="39"/>
      <c r="Z441" s="39"/>
    </row>
    <row r="442" spans="1:26" x14ac:dyDescent="0.2">
      <c r="A442" s="35"/>
      <c r="B442" s="35"/>
      <c r="C442" s="35"/>
      <c r="D442" s="35"/>
      <c r="E442" s="35"/>
      <c r="F442" s="35"/>
      <c r="G442" s="35"/>
      <c r="H442" s="35"/>
      <c r="I442" s="35"/>
      <c r="M442" s="39"/>
      <c r="N442" s="39"/>
      <c r="O442" s="39"/>
      <c r="P442" s="39"/>
      <c r="Q442" s="39"/>
      <c r="R442" s="39"/>
      <c r="S442" s="39"/>
      <c r="T442" s="39"/>
      <c r="U442" s="39"/>
      <c r="V442" s="39"/>
      <c r="W442" s="39"/>
      <c r="X442" s="39"/>
      <c r="Y442" s="39"/>
      <c r="Z442" s="39"/>
    </row>
    <row r="443" spans="1:26" x14ac:dyDescent="0.2">
      <c r="A443" s="35"/>
      <c r="B443" s="35"/>
      <c r="C443" s="35"/>
      <c r="D443" s="35"/>
      <c r="E443" s="35"/>
      <c r="F443" s="35"/>
      <c r="G443" s="35"/>
      <c r="H443" s="35"/>
      <c r="I443" s="35"/>
      <c r="M443" s="39"/>
      <c r="N443" s="39"/>
      <c r="O443" s="39"/>
      <c r="P443" s="39"/>
      <c r="Q443" s="39"/>
      <c r="R443" s="39"/>
      <c r="S443" s="39"/>
      <c r="T443" s="39"/>
      <c r="U443" s="39"/>
      <c r="V443" s="39"/>
      <c r="W443" s="39"/>
      <c r="X443" s="39"/>
      <c r="Y443" s="39"/>
      <c r="Z443" s="39"/>
    </row>
    <row r="444" spans="1:26" ht="16" x14ac:dyDescent="0.2">
      <c r="A444" s="34" t="s">
        <v>0</v>
      </c>
      <c r="B444" s="33" t="s">
        <v>5</v>
      </c>
      <c r="C444" s="33"/>
      <c r="D444" s="33"/>
      <c r="E444" s="33"/>
      <c r="F444" s="33"/>
      <c r="G444" s="33"/>
      <c r="H444" s="33"/>
      <c r="J444" s="28">
        <v>0</v>
      </c>
      <c r="K444" s="19">
        <f>SUM(J444:J447)</f>
        <v>1</v>
      </c>
      <c r="M444" s="39"/>
      <c r="N444" s="39"/>
      <c r="O444" s="39"/>
      <c r="P444" s="39"/>
      <c r="Q444" s="39"/>
      <c r="R444" s="39"/>
      <c r="S444" s="39"/>
      <c r="T444" s="39"/>
      <c r="U444" s="39"/>
      <c r="V444" s="39"/>
      <c r="W444" s="39"/>
      <c r="X444" s="39"/>
      <c r="Y444" s="39"/>
      <c r="Z444" s="39"/>
    </row>
    <row r="445" spans="1:26" ht="16" x14ac:dyDescent="0.2">
      <c r="A445" s="42" t="s">
        <v>1</v>
      </c>
      <c r="B445" s="41" t="s">
        <v>1680</v>
      </c>
      <c r="C445" s="41"/>
      <c r="D445" s="41"/>
      <c r="E445" s="41"/>
      <c r="F445" s="41"/>
      <c r="G445" s="41"/>
      <c r="H445" s="41"/>
      <c r="I445" s="40" t="s">
        <v>2154</v>
      </c>
      <c r="J445" s="28">
        <f>IF(ISNUMBER(SEARCH("x",I445)),1,0)</f>
        <v>1</v>
      </c>
      <c r="K445" s="19"/>
      <c r="M445" s="39"/>
      <c r="N445" s="39"/>
      <c r="O445" s="39"/>
      <c r="P445" s="39"/>
      <c r="Q445" s="39"/>
      <c r="R445" s="39"/>
      <c r="S445" s="39"/>
      <c r="T445" s="39"/>
      <c r="U445" s="39"/>
      <c r="V445" s="39"/>
      <c r="W445" s="39"/>
      <c r="X445" s="39"/>
      <c r="Y445" s="39"/>
      <c r="Z445" s="39"/>
    </row>
    <row r="446" spans="1:26" ht="16" x14ac:dyDescent="0.2">
      <c r="A446" s="34" t="s">
        <v>2</v>
      </c>
      <c r="B446" s="33" t="s">
        <v>1956</v>
      </c>
      <c r="C446" s="33"/>
      <c r="D446" s="33"/>
      <c r="E446" s="33"/>
      <c r="F446" s="33"/>
      <c r="G446" s="33"/>
      <c r="H446" s="33"/>
      <c r="J446" s="38">
        <v>0</v>
      </c>
      <c r="K446" s="19"/>
      <c r="M446" s="39"/>
      <c r="N446" s="39"/>
      <c r="O446" s="39"/>
      <c r="P446" s="39"/>
      <c r="Q446" s="39"/>
      <c r="R446" s="39"/>
      <c r="S446" s="39"/>
      <c r="T446" s="39"/>
      <c r="U446" s="39"/>
      <c r="V446" s="39"/>
      <c r="W446" s="39"/>
      <c r="X446" s="39"/>
      <c r="Y446" s="39"/>
      <c r="Z446" s="39"/>
    </row>
    <row r="447" spans="1:26" ht="16" x14ac:dyDescent="0.2">
      <c r="A447" s="34" t="s">
        <v>3</v>
      </c>
      <c r="B447" s="33" t="s">
        <v>1208</v>
      </c>
      <c r="C447" s="33"/>
      <c r="D447" s="33"/>
      <c r="E447" s="33"/>
      <c r="F447" s="33"/>
      <c r="G447" s="33"/>
      <c r="H447" s="33"/>
      <c r="J447" s="28">
        <v>0</v>
      </c>
      <c r="K447" s="19"/>
      <c r="M447" s="39"/>
      <c r="N447" s="39"/>
      <c r="O447" s="39"/>
      <c r="P447" s="39"/>
      <c r="Q447" s="39"/>
      <c r="R447" s="39"/>
      <c r="S447" s="39"/>
      <c r="T447" s="39"/>
      <c r="U447" s="39"/>
      <c r="V447" s="39"/>
      <c r="W447" s="39"/>
      <c r="X447" s="39"/>
      <c r="Y447" s="39"/>
      <c r="Z447" s="39"/>
    </row>
    <row r="448" spans="1:26" s="27" customFormat="1" x14ac:dyDescent="0.2"/>
    <row r="449" spans="1:26" x14ac:dyDescent="0.2">
      <c r="A449" s="37" t="s">
        <v>1955</v>
      </c>
      <c r="B449" s="37"/>
      <c r="C449" s="37"/>
      <c r="D449" s="37"/>
      <c r="E449" s="37"/>
      <c r="F449" s="37"/>
      <c r="G449" s="37"/>
      <c r="H449" s="37"/>
      <c r="I449" s="36" t="s">
        <v>1858</v>
      </c>
      <c r="M449" s="43" t="s">
        <v>2175</v>
      </c>
      <c r="N449" s="39"/>
      <c r="O449" s="39"/>
      <c r="P449" s="39"/>
      <c r="Q449" s="39"/>
      <c r="R449" s="39"/>
      <c r="S449" s="39"/>
      <c r="T449" s="39"/>
      <c r="U449" s="39"/>
      <c r="V449" s="39"/>
      <c r="W449" s="39"/>
      <c r="X449" s="39"/>
      <c r="Y449" s="39"/>
      <c r="Z449" s="39"/>
    </row>
    <row r="450" spans="1:26" x14ac:dyDescent="0.2">
      <c r="A450" s="35" t="s">
        <v>1954</v>
      </c>
      <c r="B450" s="35"/>
      <c r="C450" s="35"/>
      <c r="D450" s="35"/>
      <c r="E450" s="35"/>
      <c r="F450" s="35"/>
      <c r="G450" s="35"/>
      <c r="H450" s="35"/>
      <c r="I450" s="35"/>
      <c r="M450" s="39"/>
      <c r="N450" s="39"/>
      <c r="O450" s="39"/>
      <c r="P450" s="39"/>
      <c r="Q450" s="39"/>
      <c r="R450" s="39"/>
      <c r="S450" s="39"/>
      <c r="T450" s="39"/>
      <c r="U450" s="39"/>
      <c r="V450" s="39"/>
      <c r="W450" s="39"/>
      <c r="X450" s="39"/>
      <c r="Y450" s="39"/>
      <c r="Z450" s="39"/>
    </row>
    <row r="451" spans="1:26" x14ac:dyDescent="0.2">
      <c r="A451" s="35"/>
      <c r="B451" s="35"/>
      <c r="C451" s="35"/>
      <c r="D451" s="35"/>
      <c r="E451" s="35"/>
      <c r="F451" s="35"/>
      <c r="G451" s="35"/>
      <c r="H451" s="35"/>
      <c r="I451" s="35"/>
      <c r="M451" s="39"/>
      <c r="N451" s="39"/>
      <c r="O451" s="39"/>
      <c r="P451" s="39"/>
      <c r="Q451" s="39"/>
      <c r="R451" s="39"/>
      <c r="S451" s="39"/>
      <c r="T451" s="39"/>
      <c r="U451" s="39"/>
      <c r="V451" s="39"/>
      <c r="W451" s="39"/>
      <c r="X451" s="39"/>
      <c r="Y451" s="39"/>
      <c r="Z451" s="39"/>
    </row>
    <row r="452" spans="1:26" x14ac:dyDescent="0.2">
      <c r="A452" s="35"/>
      <c r="B452" s="35"/>
      <c r="C452" s="35"/>
      <c r="D452" s="35"/>
      <c r="E452" s="35"/>
      <c r="F452" s="35"/>
      <c r="G452" s="35"/>
      <c r="H452" s="35"/>
      <c r="I452" s="35"/>
      <c r="M452" s="39"/>
      <c r="N452" s="39"/>
      <c r="O452" s="39"/>
      <c r="P452" s="39"/>
      <c r="Q452" s="39"/>
      <c r="R452" s="39"/>
      <c r="S452" s="39"/>
      <c r="T452" s="39"/>
      <c r="U452" s="39"/>
      <c r="V452" s="39"/>
      <c r="W452" s="39"/>
      <c r="X452" s="39"/>
      <c r="Y452" s="39"/>
      <c r="Z452" s="39"/>
    </row>
    <row r="453" spans="1:26" ht="103.25" customHeight="1" x14ac:dyDescent="0.2">
      <c r="A453" s="35"/>
      <c r="B453" s="35"/>
      <c r="C453" s="35"/>
      <c r="D453" s="35"/>
      <c r="E453" s="35"/>
      <c r="F453" s="35"/>
      <c r="G453" s="35"/>
      <c r="H453" s="35"/>
      <c r="I453" s="35"/>
      <c r="M453" s="39"/>
      <c r="N453" s="39"/>
      <c r="O453" s="39"/>
      <c r="P453" s="39"/>
      <c r="Q453" s="39"/>
      <c r="R453" s="39"/>
      <c r="S453" s="39"/>
      <c r="T453" s="39"/>
      <c r="U453" s="39"/>
      <c r="V453" s="39"/>
      <c r="W453" s="39"/>
      <c r="X453" s="39"/>
      <c r="Y453" s="39"/>
      <c r="Z453" s="39"/>
    </row>
    <row r="454" spans="1:26" ht="16" x14ac:dyDescent="0.2">
      <c r="A454" s="34" t="s">
        <v>0</v>
      </c>
      <c r="B454" s="33" t="s">
        <v>1953</v>
      </c>
      <c r="C454" s="33"/>
      <c r="D454" s="33"/>
      <c r="E454" s="33"/>
      <c r="F454" s="33"/>
      <c r="G454" s="33"/>
      <c r="H454" s="33"/>
      <c r="J454" s="28">
        <v>0</v>
      </c>
      <c r="K454" s="19">
        <f>SUM(J454:J457)</f>
        <v>1</v>
      </c>
      <c r="M454" s="39"/>
      <c r="N454" s="39"/>
      <c r="O454" s="39"/>
      <c r="P454" s="39"/>
      <c r="Q454" s="39"/>
      <c r="R454" s="39"/>
      <c r="S454" s="39"/>
      <c r="T454" s="39"/>
      <c r="U454" s="39"/>
      <c r="V454" s="39"/>
      <c r="W454" s="39"/>
      <c r="X454" s="39"/>
      <c r="Y454" s="39"/>
      <c r="Z454" s="39"/>
    </row>
    <row r="455" spans="1:26" ht="16" x14ac:dyDescent="0.2">
      <c r="A455" s="34" t="s">
        <v>1</v>
      </c>
      <c r="B455" s="33" t="s">
        <v>1952</v>
      </c>
      <c r="C455" s="33"/>
      <c r="D455" s="33"/>
      <c r="E455" s="33"/>
      <c r="F455" s="33"/>
      <c r="G455" s="33"/>
      <c r="H455" s="33"/>
      <c r="J455" s="28">
        <v>0</v>
      </c>
      <c r="K455" s="19"/>
      <c r="M455" s="39"/>
      <c r="N455" s="39"/>
      <c r="O455" s="39"/>
      <c r="P455" s="39"/>
      <c r="Q455" s="39"/>
      <c r="R455" s="39"/>
      <c r="S455" s="39"/>
      <c r="T455" s="39"/>
      <c r="U455" s="39"/>
      <c r="V455" s="39"/>
      <c r="W455" s="39"/>
      <c r="X455" s="39"/>
      <c r="Y455" s="39"/>
      <c r="Z455" s="39"/>
    </row>
    <row r="456" spans="1:26" ht="16" x14ac:dyDescent="0.2">
      <c r="A456" s="34" t="s">
        <v>2</v>
      </c>
      <c r="B456" s="33" t="s">
        <v>1951</v>
      </c>
      <c r="C456" s="33"/>
      <c r="D456" s="33"/>
      <c r="E456" s="33"/>
      <c r="F456" s="33"/>
      <c r="G456" s="33"/>
      <c r="H456" s="33"/>
      <c r="J456" s="28">
        <v>0</v>
      </c>
      <c r="K456" s="19"/>
      <c r="M456" s="39"/>
      <c r="N456" s="39"/>
      <c r="O456" s="39"/>
      <c r="P456" s="39"/>
      <c r="Q456" s="39"/>
      <c r="R456" s="39"/>
      <c r="S456" s="39"/>
      <c r="T456" s="39"/>
      <c r="U456" s="39"/>
      <c r="V456" s="39"/>
      <c r="W456" s="39"/>
      <c r="X456" s="39"/>
      <c r="Y456" s="39"/>
      <c r="Z456" s="39"/>
    </row>
    <row r="457" spans="1:26" ht="16" x14ac:dyDescent="0.2">
      <c r="A457" s="42" t="s">
        <v>3</v>
      </c>
      <c r="B457" s="41" t="s">
        <v>1950</v>
      </c>
      <c r="C457" s="41"/>
      <c r="D457" s="41"/>
      <c r="E457" s="41"/>
      <c r="F457" s="41"/>
      <c r="G457" s="41"/>
      <c r="H457" s="41"/>
      <c r="I457" s="40" t="s">
        <v>2154</v>
      </c>
      <c r="J457" s="28">
        <f>IF(ISNUMBER(SEARCH("x",I457)),1,0)</f>
        <v>1</v>
      </c>
      <c r="K457" s="19"/>
      <c r="M457" s="39"/>
      <c r="N457" s="39"/>
      <c r="O457" s="39"/>
      <c r="P457" s="39"/>
      <c r="Q457" s="39"/>
      <c r="R457" s="39"/>
      <c r="S457" s="39"/>
      <c r="T457" s="39"/>
      <c r="U457" s="39"/>
      <c r="V457" s="39"/>
      <c r="W457" s="39"/>
      <c r="X457" s="39"/>
      <c r="Y457" s="39"/>
      <c r="Z457" s="39"/>
    </row>
    <row r="458" spans="1:26" s="27" customFormat="1" x14ac:dyDescent="0.2"/>
    <row r="459" spans="1:26" x14ac:dyDescent="0.2">
      <c r="A459" s="37" t="s">
        <v>1949</v>
      </c>
      <c r="B459" s="37"/>
      <c r="C459" s="37"/>
      <c r="D459" s="37"/>
      <c r="E459" s="37"/>
      <c r="F459" s="37"/>
      <c r="G459" s="37"/>
      <c r="H459" s="37"/>
      <c r="I459" s="36" t="s">
        <v>1858</v>
      </c>
      <c r="M459" s="43" t="s">
        <v>2174</v>
      </c>
      <c r="N459" s="39"/>
      <c r="O459" s="39"/>
      <c r="P459" s="39"/>
      <c r="Q459" s="39"/>
      <c r="R459" s="39"/>
      <c r="S459" s="39"/>
      <c r="T459" s="39"/>
      <c r="U459" s="39"/>
      <c r="V459" s="39"/>
      <c r="W459" s="39"/>
      <c r="X459" s="39"/>
      <c r="Y459" s="39"/>
      <c r="Z459" s="39"/>
    </row>
    <row r="460" spans="1:26" x14ac:dyDescent="0.2">
      <c r="A460" s="35" t="s">
        <v>1948</v>
      </c>
      <c r="B460" s="35"/>
      <c r="C460" s="35"/>
      <c r="D460" s="35"/>
      <c r="E460" s="35"/>
      <c r="F460" s="35"/>
      <c r="G460" s="35"/>
      <c r="H460" s="35"/>
      <c r="I460" s="35"/>
      <c r="M460" s="39"/>
      <c r="N460" s="39"/>
      <c r="O460" s="39"/>
      <c r="P460" s="39"/>
      <c r="Q460" s="39"/>
      <c r="R460" s="39"/>
      <c r="S460" s="39"/>
      <c r="T460" s="39"/>
      <c r="U460" s="39"/>
      <c r="V460" s="39"/>
      <c r="W460" s="39"/>
      <c r="X460" s="39"/>
      <c r="Y460" s="39"/>
      <c r="Z460" s="39"/>
    </row>
    <row r="461" spans="1:26" x14ac:dyDescent="0.2">
      <c r="A461" s="35"/>
      <c r="B461" s="35"/>
      <c r="C461" s="35"/>
      <c r="D461" s="35"/>
      <c r="E461" s="35"/>
      <c r="F461" s="35"/>
      <c r="G461" s="35"/>
      <c r="H461" s="35"/>
      <c r="I461" s="35"/>
      <c r="M461" s="39"/>
      <c r="N461" s="39"/>
      <c r="O461" s="39"/>
      <c r="P461" s="39"/>
      <c r="Q461" s="39"/>
      <c r="R461" s="39"/>
      <c r="S461" s="39"/>
      <c r="T461" s="39"/>
      <c r="U461" s="39"/>
      <c r="V461" s="39"/>
      <c r="W461" s="39"/>
      <c r="X461" s="39"/>
      <c r="Y461" s="39"/>
      <c r="Z461" s="39"/>
    </row>
    <row r="462" spans="1:26" x14ac:dyDescent="0.2">
      <c r="A462" s="35"/>
      <c r="B462" s="35"/>
      <c r="C462" s="35"/>
      <c r="D462" s="35"/>
      <c r="E462" s="35"/>
      <c r="F462" s="35"/>
      <c r="G462" s="35"/>
      <c r="H462" s="35"/>
      <c r="I462" s="35"/>
      <c r="M462" s="39"/>
      <c r="N462" s="39"/>
      <c r="O462" s="39"/>
      <c r="P462" s="39"/>
      <c r="Q462" s="39"/>
      <c r="R462" s="39"/>
      <c r="S462" s="39"/>
      <c r="T462" s="39"/>
      <c r="U462" s="39"/>
      <c r="V462" s="39"/>
      <c r="W462" s="39"/>
      <c r="X462" s="39"/>
      <c r="Y462" s="39"/>
      <c r="Z462" s="39"/>
    </row>
    <row r="463" spans="1:26" x14ac:dyDescent="0.2">
      <c r="A463" s="35"/>
      <c r="B463" s="35"/>
      <c r="C463" s="35"/>
      <c r="D463" s="35"/>
      <c r="E463" s="35"/>
      <c r="F463" s="35"/>
      <c r="G463" s="35"/>
      <c r="H463" s="35"/>
      <c r="I463" s="35"/>
      <c r="M463" s="39"/>
      <c r="N463" s="39"/>
      <c r="O463" s="39"/>
      <c r="P463" s="39"/>
      <c r="Q463" s="39"/>
      <c r="R463" s="39"/>
      <c r="S463" s="39"/>
      <c r="T463" s="39"/>
      <c r="U463" s="39"/>
      <c r="V463" s="39"/>
      <c r="W463" s="39"/>
      <c r="X463" s="39"/>
      <c r="Y463" s="39"/>
      <c r="Z463" s="39"/>
    </row>
    <row r="464" spans="1:26" ht="16" x14ac:dyDescent="0.2">
      <c r="A464" s="34" t="s">
        <v>0</v>
      </c>
      <c r="B464" s="33" t="s">
        <v>1208</v>
      </c>
      <c r="C464" s="33"/>
      <c r="D464" s="33"/>
      <c r="E464" s="33"/>
      <c r="F464" s="33"/>
      <c r="G464" s="33"/>
      <c r="H464" s="33"/>
      <c r="J464" s="28">
        <v>0</v>
      </c>
      <c r="K464" s="19">
        <f>SUM(J464:J467)</f>
        <v>1</v>
      </c>
      <c r="M464" s="39"/>
      <c r="N464" s="39"/>
      <c r="O464" s="39"/>
      <c r="P464" s="39"/>
      <c r="Q464" s="39"/>
      <c r="R464" s="39"/>
      <c r="S464" s="39"/>
      <c r="T464" s="39"/>
      <c r="U464" s="39"/>
      <c r="V464" s="39"/>
      <c r="W464" s="39"/>
      <c r="X464" s="39"/>
      <c r="Y464" s="39"/>
      <c r="Z464" s="39"/>
    </row>
    <row r="465" spans="1:26" ht="16" x14ac:dyDescent="0.2">
      <c r="A465" s="42" t="s">
        <v>1</v>
      </c>
      <c r="B465" s="41" t="s">
        <v>1360</v>
      </c>
      <c r="C465" s="41"/>
      <c r="D465" s="41"/>
      <c r="E465" s="41"/>
      <c r="F465" s="41"/>
      <c r="G465" s="41"/>
      <c r="H465" s="41"/>
      <c r="I465" s="40" t="s">
        <v>2154</v>
      </c>
      <c r="J465" s="28">
        <f>IF(ISNUMBER(SEARCH("x",I465)),1,0)</f>
        <v>1</v>
      </c>
      <c r="K465" s="19"/>
      <c r="M465" s="39"/>
      <c r="N465" s="39"/>
      <c r="O465" s="39"/>
      <c r="P465" s="39"/>
      <c r="Q465" s="39"/>
      <c r="R465" s="39"/>
      <c r="S465" s="39"/>
      <c r="T465" s="39"/>
      <c r="U465" s="39"/>
      <c r="V465" s="39"/>
      <c r="W465" s="39"/>
      <c r="X465" s="39"/>
      <c r="Y465" s="39"/>
      <c r="Z465" s="39"/>
    </row>
    <row r="466" spans="1:26" ht="16" x14ac:dyDescent="0.2">
      <c r="A466" s="34" t="s">
        <v>2</v>
      </c>
      <c r="B466" s="33" t="s">
        <v>1947</v>
      </c>
      <c r="C466" s="33"/>
      <c r="D466" s="33"/>
      <c r="E466" s="33"/>
      <c r="F466" s="33"/>
      <c r="G466" s="33"/>
      <c r="H466" s="33"/>
      <c r="J466" s="38">
        <v>0</v>
      </c>
      <c r="K466" s="19"/>
      <c r="M466" s="39"/>
      <c r="N466" s="39"/>
      <c r="O466" s="39"/>
      <c r="P466" s="39"/>
      <c r="Q466" s="39"/>
      <c r="R466" s="39"/>
      <c r="S466" s="39"/>
      <c r="T466" s="39"/>
      <c r="U466" s="39"/>
      <c r="V466" s="39"/>
      <c r="W466" s="39"/>
      <c r="X466" s="39"/>
      <c r="Y466" s="39"/>
      <c r="Z466" s="39"/>
    </row>
    <row r="467" spans="1:26" ht="16" x14ac:dyDescent="0.2">
      <c r="A467" s="34" t="s">
        <v>3</v>
      </c>
      <c r="B467" s="33" t="s">
        <v>1455</v>
      </c>
      <c r="C467" s="33"/>
      <c r="D467" s="33"/>
      <c r="E467" s="33"/>
      <c r="F467" s="33"/>
      <c r="G467" s="33"/>
      <c r="H467" s="33"/>
      <c r="J467" s="28">
        <v>0</v>
      </c>
      <c r="K467" s="19"/>
      <c r="M467" s="39"/>
      <c r="N467" s="39"/>
      <c r="O467" s="39"/>
      <c r="P467" s="39"/>
      <c r="Q467" s="39"/>
      <c r="R467" s="39"/>
      <c r="S467" s="39"/>
      <c r="T467" s="39"/>
      <c r="U467" s="39"/>
      <c r="V467" s="39"/>
      <c r="W467" s="39"/>
      <c r="X467" s="39"/>
      <c r="Y467" s="39"/>
      <c r="Z467" s="39"/>
    </row>
    <row r="468" spans="1:26" s="27" customFormat="1" x14ac:dyDescent="0.2"/>
    <row r="469" spans="1:26" x14ac:dyDescent="0.2">
      <c r="A469" s="37" t="s">
        <v>1946</v>
      </c>
      <c r="B469" s="37"/>
      <c r="C469" s="37"/>
      <c r="D469" s="37"/>
      <c r="E469" s="37"/>
      <c r="F469" s="37"/>
      <c r="G469" s="37"/>
      <c r="H469" s="37"/>
      <c r="I469" s="36" t="s">
        <v>1858</v>
      </c>
      <c r="M469" s="43" t="s">
        <v>2173</v>
      </c>
      <c r="N469" s="39"/>
      <c r="O469" s="39"/>
      <c r="P469" s="39"/>
      <c r="Q469" s="39"/>
      <c r="R469" s="39"/>
      <c r="S469" s="39"/>
      <c r="T469" s="39"/>
      <c r="U469" s="39"/>
      <c r="V469" s="39"/>
      <c r="W469" s="39"/>
      <c r="X469" s="39"/>
      <c r="Y469" s="39"/>
      <c r="Z469" s="39"/>
    </row>
    <row r="470" spans="1:26" x14ac:dyDescent="0.2">
      <c r="A470" s="35" t="s">
        <v>1945</v>
      </c>
      <c r="B470" s="35"/>
      <c r="C470" s="35"/>
      <c r="D470" s="35"/>
      <c r="E470" s="35"/>
      <c r="F470" s="35"/>
      <c r="G470" s="35"/>
      <c r="H470" s="35"/>
      <c r="I470" s="35"/>
      <c r="M470" s="39"/>
      <c r="N470" s="39"/>
      <c r="O470" s="39"/>
      <c r="P470" s="39"/>
      <c r="Q470" s="39"/>
      <c r="R470" s="39"/>
      <c r="S470" s="39"/>
      <c r="T470" s="39"/>
      <c r="U470" s="39"/>
      <c r="V470" s="39"/>
      <c r="W470" s="39"/>
      <c r="X470" s="39"/>
      <c r="Y470" s="39"/>
      <c r="Z470" s="39"/>
    </row>
    <row r="471" spans="1:26" x14ac:dyDescent="0.2">
      <c r="A471" s="35"/>
      <c r="B471" s="35"/>
      <c r="C471" s="35"/>
      <c r="D471" s="35"/>
      <c r="E471" s="35"/>
      <c r="F471" s="35"/>
      <c r="G471" s="35"/>
      <c r="H471" s="35"/>
      <c r="I471" s="35"/>
      <c r="M471" s="39"/>
      <c r="N471" s="39"/>
      <c r="O471" s="39"/>
      <c r="P471" s="39"/>
      <c r="Q471" s="39"/>
      <c r="R471" s="39"/>
      <c r="S471" s="39"/>
      <c r="T471" s="39"/>
      <c r="U471" s="39"/>
      <c r="V471" s="39"/>
      <c r="W471" s="39"/>
      <c r="X471" s="39"/>
      <c r="Y471" s="39"/>
      <c r="Z471" s="39"/>
    </row>
    <row r="472" spans="1:26" x14ac:dyDescent="0.2">
      <c r="A472" s="35"/>
      <c r="B472" s="35"/>
      <c r="C472" s="35"/>
      <c r="D472" s="35"/>
      <c r="E472" s="35"/>
      <c r="F472" s="35"/>
      <c r="G472" s="35"/>
      <c r="H472" s="35"/>
      <c r="I472" s="35"/>
      <c r="M472" s="39"/>
      <c r="N472" s="39"/>
      <c r="O472" s="39"/>
      <c r="P472" s="39"/>
      <c r="Q472" s="39"/>
      <c r="R472" s="39"/>
      <c r="S472" s="39"/>
      <c r="T472" s="39"/>
      <c r="U472" s="39"/>
      <c r="V472" s="39"/>
      <c r="W472" s="39"/>
      <c r="X472" s="39"/>
      <c r="Y472" s="39"/>
      <c r="Z472" s="39"/>
    </row>
    <row r="473" spans="1:26" x14ac:dyDescent="0.2">
      <c r="A473" s="35"/>
      <c r="B473" s="35"/>
      <c r="C473" s="35"/>
      <c r="D473" s="35"/>
      <c r="E473" s="35"/>
      <c r="F473" s="35"/>
      <c r="G473" s="35"/>
      <c r="H473" s="35"/>
      <c r="I473" s="35"/>
      <c r="M473" s="39"/>
      <c r="N473" s="39"/>
      <c r="O473" s="39"/>
      <c r="P473" s="39"/>
      <c r="Q473" s="39"/>
      <c r="R473" s="39"/>
      <c r="S473" s="39"/>
      <c r="T473" s="39"/>
      <c r="U473" s="39"/>
      <c r="V473" s="39"/>
      <c r="W473" s="39"/>
      <c r="X473" s="39"/>
      <c r="Y473" s="39"/>
      <c r="Z473" s="39"/>
    </row>
    <row r="474" spans="1:26" ht="16" x14ac:dyDescent="0.2">
      <c r="A474" s="42" t="s">
        <v>0</v>
      </c>
      <c r="B474" s="41" t="s">
        <v>1944</v>
      </c>
      <c r="C474" s="41"/>
      <c r="D474" s="41"/>
      <c r="E474" s="41"/>
      <c r="F474" s="41"/>
      <c r="G474" s="41"/>
      <c r="H474" s="41"/>
      <c r="I474" s="40" t="s">
        <v>2154</v>
      </c>
      <c r="J474" s="28">
        <f>IF(ISNUMBER(SEARCH("x",I474)),1,0)</f>
        <v>1</v>
      </c>
      <c r="K474" s="19">
        <f>SUM(J474:J477)</f>
        <v>1</v>
      </c>
      <c r="M474" s="39"/>
      <c r="N474" s="39"/>
      <c r="O474" s="39"/>
      <c r="P474" s="39"/>
      <c r="Q474" s="39"/>
      <c r="R474" s="39"/>
      <c r="S474" s="39"/>
      <c r="T474" s="39"/>
      <c r="U474" s="39"/>
      <c r="V474" s="39"/>
      <c r="W474" s="39"/>
      <c r="X474" s="39"/>
      <c r="Y474" s="39"/>
      <c r="Z474" s="39"/>
    </row>
    <row r="475" spans="1:26" ht="16" x14ac:dyDescent="0.2">
      <c r="A475" s="34" t="s">
        <v>1</v>
      </c>
      <c r="B475" s="33" t="s">
        <v>1943</v>
      </c>
      <c r="C475" s="33"/>
      <c r="D475" s="33"/>
      <c r="E475" s="33"/>
      <c r="F475" s="33"/>
      <c r="G475" s="33"/>
      <c r="H475" s="33"/>
      <c r="J475" s="38">
        <v>0</v>
      </c>
      <c r="K475" s="19"/>
      <c r="M475" s="39"/>
      <c r="N475" s="39"/>
      <c r="O475" s="39"/>
      <c r="P475" s="39"/>
      <c r="Q475" s="39"/>
      <c r="R475" s="39"/>
      <c r="S475" s="39"/>
      <c r="T475" s="39"/>
      <c r="U475" s="39"/>
      <c r="V475" s="39"/>
      <c r="W475" s="39"/>
      <c r="X475" s="39"/>
      <c r="Y475" s="39"/>
      <c r="Z475" s="39"/>
    </row>
    <row r="476" spans="1:26" ht="16" x14ac:dyDescent="0.2">
      <c r="A476" s="34" t="s">
        <v>2</v>
      </c>
      <c r="B476" s="33" t="s">
        <v>1942</v>
      </c>
      <c r="C476" s="33"/>
      <c r="D476" s="33"/>
      <c r="E476" s="33"/>
      <c r="F476" s="33"/>
      <c r="G476" s="33"/>
      <c r="H476" s="33"/>
      <c r="J476" s="38">
        <v>0</v>
      </c>
      <c r="K476" s="19"/>
      <c r="M476" s="39"/>
      <c r="N476" s="39"/>
      <c r="O476" s="39"/>
      <c r="P476" s="39"/>
      <c r="Q476" s="39"/>
      <c r="R476" s="39"/>
      <c r="S476" s="39"/>
      <c r="T476" s="39"/>
      <c r="U476" s="39"/>
      <c r="V476" s="39"/>
      <c r="W476" s="39"/>
      <c r="X476" s="39"/>
      <c r="Y476" s="39"/>
      <c r="Z476" s="39"/>
    </row>
    <row r="477" spans="1:26" ht="16" x14ac:dyDescent="0.2">
      <c r="A477" s="34" t="s">
        <v>3</v>
      </c>
      <c r="B477" s="33" t="s">
        <v>1941</v>
      </c>
      <c r="C477" s="33"/>
      <c r="D477" s="33"/>
      <c r="E477" s="33"/>
      <c r="F477" s="33"/>
      <c r="G477" s="33"/>
      <c r="H477" s="33"/>
      <c r="J477" s="38">
        <v>0</v>
      </c>
      <c r="K477" s="19"/>
      <c r="M477" s="39"/>
      <c r="N477" s="39"/>
      <c r="O477" s="39"/>
      <c r="P477" s="39"/>
      <c r="Q477" s="39"/>
      <c r="R477" s="39"/>
      <c r="S477" s="39"/>
      <c r="T477" s="39"/>
      <c r="U477" s="39"/>
      <c r="V477" s="39"/>
      <c r="W477" s="39"/>
      <c r="X477" s="39"/>
      <c r="Y477" s="39"/>
      <c r="Z477" s="39"/>
    </row>
    <row r="478" spans="1:26" s="27" customFormat="1" x14ac:dyDescent="0.2"/>
    <row r="479" spans="1:26" x14ac:dyDescent="0.2">
      <c r="A479" s="37" t="s">
        <v>1940</v>
      </c>
      <c r="B479" s="37"/>
      <c r="C479" s="37"/>
      <c r="D479" s="37"/>
      <c r="E479" s="37"/>
      <c r="F479" s="37"/>
      <c r="G479" s="37"/>
      <c r="H479" s="37"/>
      <c r="I479" s="36" t="s">
        <v>1858</v>
      </c>
      <c r="M479" s="43" t="s">
        <v>2172</v>
      </c>
      <c r="N479" s="39"/>
      <c r="O479" s="39"/>
      <c r="P479" s="39"/>
      <c r="Q479" s="39"/>
      <c r="R479" s="39"/>
      <c r="S479" s="39"/>
      <c r="T479" s="39"/>
      <c r="U479" s="39"/>
      <c r="V479" s="39"/>
      <c r="W479" s="39"/>
      <c r="X479" s="39"/>
      <c r="Y479" s="39"/>
      <c r="Z479" s="39"/>
    </row>
    <row r="480" spans="1:26" x14ac:dyDescent="0.2">
      <c r="A480" s="35" t="s">
        <v>1939</v>
      </c>
      <c r="B480" s="35"/>
      <c r="C480" s="35"/>
      <c r="D480" s="35"/>
      <c r="E480" s="35"/>
      <c r="F480" s="35"/>
      <c r="G480" s="35"/>
      <c r="H480" s="35"/>
      <c r="I480" s="35"/>
      <c r="M480" s="39"/>
      <c r="N480" s="39"/>
      <c r="O480" s="39"/>
      <c r="P480" s="39"/>
      <c r="Q480" s="39"/>
      <c r="R480" s="39"/>
      <c r="S480" s="39"/>
      <c r="T480" s="39"/>
      <c r="U480" s="39"/>
      <c r="V480" s="39"/>
      <c r="W480" s="39"/>
      <c r="X480" s="39"/>
      <c r="Y480" s="39"/>
      <c r="Z480" s="39"/>
    </row>
    <row r="481" spans="1:26" x14ac:dyDescent="0.2">
      <c r="A481" s="35"/>
      <c r="B481" s="35"/>
      <c r="C481" s="35"/>
      <c r="D481" s="35"/>
      <c r="E481" s="35"/>
      <c r="F481" s="35"/>
      <c r="G481" s="35"/>
      <c r="H481" s="35"/>
      <c r="I481" s="35"/>
      <c r="M481" s="39"/>
      <c r="N481" s="39"/>
      <c r="O481" s="39"/>
      <c r="P481" s="39"/>
      <c r="Q481" s="39"/>
      <c r="R481" s="39"/>
      <c r="S481" s="39"/>
      <c r="T481" s="39"/>
      <c r="U481" s="39"/>
      <c r="V481" s="39"/>
      <c r="W481" s="39"/>
      <c r="X481" s="39"/>
      <c r="Y481" s="39"/>
      <c r="Z481" s="39"/>
    </row>
    <row r="482" spans="1:26" x14ac:dyDescent="0.2">
      <c r="A482" s="35"/>
      <c r="B482" s="35"/>
      <c r="C482" s="35"/>
      <c r="D482" s="35"/>
      <c r="E482" s="35"/>
      <c r="F482" s="35"/>
      <c r="G482" s="35"/>
      <c r="H482" s="35"/>
      <c r="I482" s="35"/>
      <c r="M482" s="39"/>
      <c r="N482" s="39"/>
      <c r="O482" s="39"/>
      <c r="P482" s="39"/>
      <c r="Q482" s="39"/>
      <c r="R482" s="39"/>
      <c r="S482" s="39"/>
      <c r="T482" s="39"/>
      <c r="U482" s="39"/>
      <c r="V482" s="39"/>
      <c r="W482" s="39"/>
      <c r="X482" s="39"/>
      <c r="Y482" s="39"/>
      <c r="Z482" s="39"/>
    </row>
    <row r="483" spans="1:26" ht="51.5" customHeight="1" x14ac:dyDescent="0.2">
      <c r="A483" s="35"/>
      <c r="B483" s="35"/>
      <c r="C483" s="35"/>
      <c r="D483" s="35"/>
      <c r="E483" s="35"/>
      <c r="F483" s="35"/>
      <c r="G483" s="35"/>
      <c r="H483" s="35"/>
      <c r="I483" s="35"/>
      <c r="M483" s="39"/>
      <c r="N483" s="39"/>
      <c r="O483" s="39"/>
      <c r="P483" s="39"/>
      <c r="Q483" s="39"/>
      <c r="R483" s="39"/>
      <c r="S483" s="39"/>
      <c r="T483" s="39"/>
      <c r="U483" s="39"/>
      <c r="V483" s="39"/>
      <c r="W483" s="39"/>
      <c r="X483" s="39"/>
      <c r="Y483" s="39"/>
      <c r="Z483" s="39"/>
    </row>
    <row r="484" spans="1:26" ht="16" x14ac:dyDescent="0.2">
      <c r="A484" s="34" t="s">
        <v>0</v>
      </c>
      <c r="B484" s="33" t="s">
        <v>1938</v>
      </c>
      <c r="C484" s="33"/>
      <c r="D484" s="33"/>
      <c r="E484" s="33"/>
      <c r="F484" s="33"/>
      <c r="G484" s="33"/>
      <c r="H484" s="33"/>
      <c r="J484" s="28">
        <v>0</v>
      </c>
      <c r="K484" s="19">
        <f>SUM(J484:J487)</f>
        <v>1</v>
      </c>
      <c r="M484" s="39"/>
      <c r="N484" s="39"/>
      <c r="O484" s="39"/>
      <c r="P484" s="39"/>
      <c r="Q484" s="39"/>
      <c r="R484" s="39"/>
      <c r="S484" s="39"/>
      <c r="T484" s="39"/>
      <c r="U484" s="39"/>
      <c r="V484" s="39"/>
      <c r="W484" s="39"/>
      <c r="X484" s="39"/>
      <c r="Y484" s="39"/>
      <c r="Z484" s="39"/>
    </row>
    <row r="485" spans="1:26" ht="16" x14ac:dyDescent="0.2">
      <c r="A485" s="34" t="s">
        <v>1</v>
      </c>
      <c r="B485" s="33" t="s">
        <v>1388</v>
      </c>
      <c r="C485" s="33"/>
      <c r="D485" s="33"/>
      <c r="E485" s="33"/>
      <c r="F485" s="33"/>
      <c r="G485" s="33"/>
      <c r="H485" s="33"/>
      <c r="J485" s="28">
        <v>0</v>
      </c>
      <c r="K485" s="19"/>
      <c r="M485" s="39"/>
      <c r="N485" s="39"/>
      <c r="O485" s="39"/>
      <c r="P485" s="39"/>
      <c r="Q485" s="39"/>
      <c r="R485" s="39"/>
      <c r="S485" s="39"/>
      <c r="T485" s="39"/>
      <c r="U485" s="39"/>
      <c r="V485" s="39"/>
      <c r="W485" s="39"/>
      <c r="X485" s="39"/>
      <c r="Y485" s="39"/>
      <c r="Z485" s="39"/>
    </row>
    <row r="486" spans="1:26" ht="16" x14ac:dyDescent="0.2">
      <c r="A486" s="42" t="s">
        <v>2</v>
      </c>
      <c r="B486" s="41" t="s">
        <v>14</v>
      </c>
      <c r="C486" s="41"/>
      <c r="D486" s="41"/>
      <c r="E486" s="41"/>
      <c r="F486" s="41"/>
      <c r="G486" s="41"/>
      <c r="H486" s="41"/>
      <c r="I486" s="40" t="s">
        <v>2154</v>
      </c>
      <c r="J486" s="28">
        <f>IF(ISNUMBER(SEARCH("x",I486)),1,0)</f>
        <v>1</v>
      </c>
      <c r="K486" s="19"/>
      <c r="M486" s="39"/>
      <c r="N486" s="39"/>
      <c r="O486" s="39"/>
      <c r="P486" s="39"/>
      <c r="Q486" s="39"/>
      <c r="R486" s="39"/>
      <c r="S486" s="39"/>
      <c r="T486" s="39"/>
      <c r="U486" s="39"/>
      <c r="V486" s="39"/>
      <c r="W486" s="39"/>
      <c r="X486" s="39"/>
      <c r="Y486" s="39"/>
      <c r="Z486" s="39"/>
    </row>
    <row r="487" spans="1:26" ht="16" x14ac:dyDescent="0.2">
      <c r="A487" s="34" t="s">
        <v>3</v>
      </c>
      <c r="B487" s="33" t="s">
        <v>760</v>
      </c>
      <c r="C487" s="33"/>
      <c r="D487" s="33"/>
      <c r="E487" s="33"/>
      <c r="F487" s="33"/>
      <c r="G487" s="33"/>
      <c r="H487" s="33"/>
      <c r="J487" s="28">
        <v>0</v>
      </c>
      <c r="K487" s="19"/>
      <c r="M487" s="39"/>
      <c r="N487" s="39"/>
      <c r="O487" s="39"/>
      <c r="P487" s="39"/>
      <c r="Q487" s="39"/>
      <c r="R487" s="39"/>
      <c r="S487" s="39"/>
      <c r="T487" s="39"/>
      <c r="U487" s="39"/>
      <c r="V487" s="39"/>
      <c r="W487" s="39"/>
      <c r="X487" s="39"/>
      <c r="Y487" s="39"/>
      <c r="Z487" s="39"/>
    </row>
    <row r="488" spans="1:26" s="27" customFormat="1" x14ac:dyDescent="0.2"/>
    <row r="489" spans="1:26" x14ac:dyDescent="0.2">
      <c r="A489" s="37" t="s">
        <v>1937</v>
      </c>
      <c r="B489" s="37"/>
      <c r="C489" s="37"/>
      <c r="D489" s="37"/>
      <c r="E489" s="37"/>
      <c r="F489" s="37"/>
      <c r="G489" s="37"/>
      <c r="H489" s="37"/>
      <c r="I489" s="36" t="s">
        <v>1858</v>
      </c>
      <c r="M489" s="43" t="s">
        <v>2171</v>
      </c>
      <c r="N489" s="43"/>
      <c r="O489" s="43"/>
      <c r="P489" s="43"/>
      <c r="Q489" s="43"/>
      <c r="R489" s="43"/>
      <c r="S489" s="43"/>
      <c r="T489" s="43"/>
      <c r="U489" s="43"/>
      <c r="V489" s="43"/>
      <c r="W489" s="43"/>
      <c r="X489" s="43"/>
      <c r="Y489" s="43"/>
      <c r="Z489" s="43"/>
    </row>
    <row r="490" spans="1:26" x14ac:dyDescent="0.2">
      <c r="A490" s="35" t="s">
        <v>1936</v>
      </c>
      <c r="B490" s="35"/>
      <c r="C490" s="35"/>
      <c r="D490" s="35"/>
      <c r="E490" s="35"/>
      <c r="F490" s="35"/>
      <c r="G490" s="35"/>
      <c r="H490" s="35"/>
      <c r="I490" s="35"/>
      <c r="M490" s="43"/>
      <c r="N490" s="43"/>
      <c r="O490" s="43"/>
      <c r="P490" s="43"/>
      <c r="Q490" s="43"/>
      <c r="R490" s="43"/>
      <c r="S490" s="43"/>
      <c r="T490" s="43"/>
      <c r="U490" s="43"/>
      <c r="V490" s="43"/>
      <c r="W490" s="43"/>
      <c r="X490" s="43"/>
      <c r="Y490" s="43"/>
      <c r="Z490" s="43"/>
    </row>
    <row r="491" spans="1:26" x14ac:dyDescent="0.2">
      <c r="A491" s="35"/>
      <c r="B491" s="35"/>
      <c r="C491" s="35"/>
      <c r="D491" s="35"/>
      <c r="E491" s="35"/>
      <c r="F491" s="35"/>
      <c r="G491" s="35"/>
      <c r="H491" s="35"/>
      <c r="I491" s="35"/>
      <c r="M491" s="43"/>
      <c r="N491" s="43"/>
      <c r="O491" s="43"/>
      <c r="P491" s="43"/>
      <c r="Q491" s="43"/>
      <c r="R491" s="43"/>
      <c r="S491" s="43"/>
      <c r="T491" s="43"/>
      <c r="U491" s="43"/>
      <c r="V491" s="43"/>
      <c r="W491" s="43"/>
      <c r="X491" s="43"/>
      <c r="Y491" s="43"/>
      <c r="Z491" s="43"/>
    </row>
    <row r="492" spans="1:26" x14ac:dyDescent="0.2">
      <c r="A492" s="35"/>
      <c r="B492" s="35"/>
      <c r="C492" s="35"/>
      <c r="D492" s="35"/>
      <c r="E492" s="35"/>
      <c r="F492" s="35"/>
      <c r="G492" s="35"/>
      <c r="H492" s="35"/>
      <c r="I492" s="35"/>
      <c r="M492" s="43"/>
      <c r="N492" s="43"/>
      <c r="O492" s="43"/>
      <c r="P492" s="43"/>
      <c r="Q492" s="43"/>
      <c r="R492" s="43"/>
      <c r="S492" s="43"/>
      <c r="T492" s="43"/>
      <c r="U492" s="43"/>
      <c r="V492" s="43"/>
      <c r="W492" s="43"/>
      <c r="X492" s="43"/>
      <c r="Y492" s="43"/>
      <c r="Z492" s="43"/>
    </row>
    <row r="493" spans="1:26" ht="75.5" customHeight="1" x14ac:dyDescent="0.2">
      <c r="A493" s="35"/>
      <c r="B493" s="35"/>
      <c r="C493" s="35"/>
      <c r="D493" s="35"/>
      <c r="E493" s="35"/>
      <c r="F493" s="35"/>
      <c r="G493" s="35"/>
      <c r="H493" s="35"/>
      <c r="I493" s="35"/>
      <c r="M493" s="43"/>
      <c r="N493" s="43"/>
      <c r="O493" s="43"/>
      <c r="P493" s="43"/>
      <c r="Q493" s="43"/>
      <c r="R493" s="43"/>
      <c r="S493" s="43"/>
      <c r="T493" s="43"/>
      <c r="U493" s="43"/>
      <c r="V493" s="43"/>
      <c r="W493" s="43"/>
      <c r="X493" s="43"/>
      <c r="Y493" s="43"/>
      <c r="Z493" s="43"/>
    </row>
    <row r="494" spans="1:26" ht="16" x14ac:dyDescent="0.2">
      <c r="A494" s="34" t="s">
        <v>0</v>
      </c>
      <c r="B494" s="33" t="s">
        <v>1935</v>
      </c>
      <c r="C494" s="33"/>
      <c r="D494" s="33"/>
      <c r="E494" s="33"/>
      <c r="F494" s="33"/>
      <c r="G494" s="33"/>
      <c r="H494" s="33"/>
      <c r="J494" s="28">
        <f>IF(ISNUMBER(SEARCH("x",I494)),-0.5,0)</f>
        <v>0</v>
      </c>
      <c r="K494" s="19">
        <f>MAX(SUM(J494:J498),0)</f>
        <v>1</v>
      </c>
      <c r="M494" s="43"/>
      <c r="N494" s="43"/>
      <c r="O494" s="43"/>
      <c r="P494" s="43"/>
      <c r="Q494" s="43"/>
      <c r="R494" s="43"/>
      <c r="S494" s="43"/>
      <c r="T494" s="43"/>
      <c r="U494" s="43"/>
      <c r="V494" s="43"/>
      <c r="W494" s="43"/>
      <c r="X494" s="43"/>
      <c r="Y494" s="43"/>
      <c r="Z494" s="43"/>
    </row>
    <row r="495" spans="1:26" ht="16" x14ac:dyDescent="0.2">
      <c r="A495" s="34" t="s">
        <v>1</v>
      </c>
      <c r="B495" s="33" t="s">
        <v>1934</v>
      </c>
      <c r="C495" s="33"/>
      <c r="D495" s="33"/>
      <c r="E495" s="33"/>
      <c r="F495" s="33"/>
      <c r="G495" s="33"/>
      <c r="H495" s="33"/>
      <c r="J495" s="28">
        <f>IF(ISNUMBER(SEARCH("x",I495)),-0.5,0)</f>
        <v>0</v>
      </c>
      <c r="K495" s="19"/>
      <c r="M495" s="43"/>
      <c r="N495" s="43"/>
      <c r="O495" s="43"/>
      <c r="P495" s="43"/>
      <c r="Q495" s="43"/>
      <c r="R495" s="43"/>
      <c r="S495" s="43"/>
      <c r="T495" s="43"/>
      <c r="U495" s="43"/>
      <c r="V495" s="43"/>
      <c r="W495" s="43"/>
      <c r="X495" s="43"/>
      <c r="Y495" s="43"/>
      <c r="Z495" s="43"/>
    </row>
    <row r="496" spans="1:26" ht="16" x14ac:dyDescent="0.2">
      <c r="A496" s="42" t="s">
        <v>2</v>
      </c>
      <c r="B496" s="41" t="s">
        <v>1119</v>
      </c>
      <c r="C496" s="41"/>
      <c r="D496" s="41"/>
      <c r="E496" s="41"/>
      <c r="F496" s="41"/>
      <c r="G496" s="41"/>
      <c r="H496" s="41"/>
      <c r="I496" s="40" t="s">
        <v>2154</v>
      </c>
      <c r="J496" s="28">
        <f>IF(ISNUMBER(SEARCH("x",I496)),0.5,0)</f>
        <v>0.5</v>
      </c>
      <c r="K496" s="19"/>
      <c r="M496" s="43"/>
      <c r="N496" s="43"/>
      <c r="O496" s="43"/>
      <c r="P496" s="43"/>
      <c r="Q496" s="43"/>
      <c r="R496" s="43"/>
      <c r="S496" s="43"/>
      <c r="T496" s="43"/>
      <c r="U496" s="43"/>
      <c r="V496" s="43"/>
      <c r="W496" s="43"/>
      <c r="X496" s="43"/>
      <c r="Y496" s="43"/>
      <c r="Z496" s="43"/>
    </row>
    <row r="497" spans="1:26" ht="16" x14ac:dyDescent="0.2">
      <c r="A497" s="34" t="s">
        <v>3</v>
      </c>
      <c r="B497" s="33" t="s">
        <v>1933</v>
      </c>
      <c r="C497" s="33"/>
      <c r="D497" s="33"/>
      <c r="E497" s="33"/>
      <c r="F497" s="33"/>
      <c r="G497" s="33"/>
      <c r="H497" s="33"/>
      <c r="J497" s="28">
        <f>IF(ISNUMBER(SEARCH("x",I497)),-0.5,0)</f>
        <v>0</v>
      </c>
      <c r="K497" s="19"/>
      <c r="M497" s="43"/>
      <c r="N497" s="43"/>
      <c r="O497" s="43"/>
      <c r="P497" s="43"/>
      <c r="Q497" s="43"/>
      <c r="R497" s="43"/>
      <c r="S497" s="43"/>
      <c r="T497" s="43"/>
      <c r="U497" s="43"/>
      <c r="V497" s="43"/>
      <c r="W497" s="43"/>
      <c r="X497" s="43"/>
      <c r="Y497" s="43"/>
      <c r="Z497" s="43"/>
    </row>
    <row r="498" spans="1:26" ht="16" x14ac:dyDescent="0.2">
      <c r="A498" s="42" t="s">
        <v>6</v>
      </c>
      <c r="B498" s="41" t="s">
        <v>511</v>
      </c>
      <c r="C498" s="41"/>
      <c r="D498" s="41"/>
      <c r="E498" s="41"/>
      <c r="F498" s="41"/>
      <c r="G498" s="41"/>
      <c r="H498" s="41"/>
      <c r="I498" s="40" t="s">
        <v>2154</v>
      </c>
      <c r="J498" s="28">
        <f>IF(ISNUMBER(SEARCH("x",I498)),0.5,0)</f>
        <v>0.5</v>
      </c>
      <c r="K498" s="19"/>
      <c r="M498" s="43"/>
      <c r="N498" s="43"/>
      <c r="O498" s="43"/>
      <c r="P498" s="43"/>
      <c r="Q498" s="43"/>
      <c r="R498" s="43"/>
      <c r="S498" s="43"/>
      <c r="T498" s="43"/>
      <c r="U498" s="43"/>
      <c r="V498" s="43"/>
      <c r="W498" s="43"/>
      <c r="X498" s="43"/>
      <c r="Y498" s="43"/>
      <c r="Z498" s="43"/>
    </row>
    <row r="499" spans="1:26" s="27" customFormat="1" x14ac:dyDescent="0.2"/>
    <row r="500" spans="1:26" x14ac:dyDescent="0.2">
      <c r="A500" s="37" t="s">
        <v>1932</v>
      </c>
      <c r="B500" s="37"/>
      <c r="C500" s="37"/>
      <c r="D500" s="37"/>
      <c r="E500" s="37"/>
      <c r="F500" s="37"/>
      <c r="G500" s="37"/>
      <c r="H500" s="37"/>
      <c r="I500" s="36" t="s">
        <v>1858</v>
      </c>
      <c r="M500" s="43" t="s">
        <v>2170</v>
      </c>
      <c r="N500" s="43"/>
      <c r="O500" s="43"/>
      <c r="P500" s="43"/>
      <c r="Q500" s="43"/>
      <c r="R500" s="43"/>
      <c r="S500" s="43"/>
      <c r="T500" s="43"/>
      <c r="U500" s="43"/>
      <c r="V500" s="43"/>
      <c r="W500" s="43"/>
      <c r="X500" s="43"/>
      <c r="Y500" s="43"/>
      <c r="Z500" s="43"/>
    </row>
    <row r="501" spans="1:26" x14ac:dyDescent="0.2">
      <c r="A501" s="35" t="s">
        <v>1931</v>
      </c>
      <c r="B501" s="35"/>
      <c r="C501" s="35"/>
      <c r="D501" s="35"/>
      <c r="E501" s="35"/>
      <c r="F501" s="35"/>
      <c r="G501" s="35"/>
      <c r="H501" s="35"/>
      <c r="I501" s="35"/>
      <c r="M501" s="43"/>
      <c r="N501" s="43"/>
      <c r="O501" s="43"/>
      <c r="P501" s="43"/>
      <c r="Q501" s="43"/>
      <c r="R501" s="43"/>
      <c r="S501" s="43"/>
      <c r="T501" s="43"/>
      <c r="U501" s="43"/>
      <c r="V501" s="43"/>
      <c r="W501" s="43"/>
      <c r="X501" s="43"/>
      <c r="Y501" s="43"/>
      <c r="Z501" s="43"/>
    </row>
    <row r="502" spans="1:26" x14ac:dyDescent="0.2">
      <c r="A502" s="35"/>
      <c r="B502" s="35"/>
      <c r="C502" s="35"/>
      <c r="D502" s="35"/>
      <c r="E502" s="35"/>
      <c r="F502" s="35"/>
      <c r="G502" s="35"/>
      <c r="H502" s="35"/>
      <c r="I502" s="35"/>
      <c r="M502" s="43"/>
      <c r="N502" s="43"/>
      <c r="O502" s="43"/>
      <c r="P502" s="43"/>
      <c r="Q502" s="43"/>
      <c r="R502" s="43"/>
      <c r="S502" s="43"/>
      <c r="T502" s="43"/>
      <c r="U502" s="43"/>
      <c r="V502" s="43"/>
      <c r="W502" s="43"/>
      <c r="X502" s="43"/>
      <c r="Y502" s="43"/>
      <c r="Z502" s="43"/>
    </row>
    <row r="503" spans="1:26" x14ac:dyDescent="0.2">
      <c r="A503" s="35"/>
      <c r="B503" s="35"/>
      <c r="C503" s="35"/>
      <c r="D503" s="35"/>
      <c r="E503" s="35"/>
      <c r="F503" s="35"/>
      <c r="G503" s="35"/>
      <c r="H503" s="35"/>
      <c r="I503" s="35"/>
      <c r="M503" s="43"/>
      <c r="N503" s="43"/>
      <c r="O503" s="43"/>
      <c r="P503" s="43"/>
      <c r="Q503" s="43"/>
      <c r="R503" s="43"/>
      <c r="S503" s="43"/>
      <c r="T503" s="43"/>
      <c r="U503" s="43"/>
      <c r="V503" s="43"/>
      <c r="W503" s="43"/>
      <c r="X503" s="43"/>
      <c r="Y503" s="43"/>
      <c r="Z503" s="43"/>
    </row>
    <row r="504" spans="1:26" ht="64.25" customHeight="1" x14ac:dyDescent="0.2">
      <c r="A504" s="35"/>
      <c r="B504" s="35"/>
      <c r="C504" s="35"/>
      <c r="D504" s="35"/>
      <c r="E504" s="35"/>
      <c r="F504" s="35"/>
      <c r="G504" s="35"/>
      <c r="H504" s="35"/>
      <c r="I504" s="35"/>
      <c r="M504" s="43"/>
      <c r="N504" s="43"/>
      <c r="O504" s="43"/>
      <c r="P504" s="43"/>
      <c r="Q504" s="43"/>
      <c r="R504" s="43"/>
      <c r="S504" s="43"/>
      <c r="T504" s="43"/>
      <c r="U504" s="43"/>
      <c r="V504" s="43"/>
      <c r="W504" s="43"/>
      <c r="X504" s="43"/>
      <c r="Y504" s="43"/>
      <c r="Z504" s="43"/>
    </row>
    <row r="505" spans="1:26" ht="16" x14ac:dyDescent="0.2">
      <c r="A505" s="34" t="s">
        <v>0</v>
      </c>
      <c r="B505" s="33" t="s">
        <v>1930</v>
      </c>
      <c r="C505" s="33"/>
      <c r="D505" s="33"/>
      <c r="E505" s="33"/>
      <c r="F505" s="33"/>
      <c r="G505" s="33"/>
      <c r="H505" s="33"/>
      <c r="J505" s="28">
        <f>IF(ISNUMBER(SEARCH("x",I505)),-0.5,0)</f>
        <v>0</v>
      </c>
      <c r="K505" s="19">
        <f>MAX(SUM(J505:J509),0)</f>
        <v>1</v>
      </c>
      <c r="M505" s="43"/>
      <c r="N505" s="43"/>
      <c r="O505" s="43"/>
      <c r="P505" s="43"/>
      <c r="Q505" s="43"/>
      <c r="R505" s="43"/>
      <c r="S505" s="43"/>
      <c r="T505" s="43"/>
      <c r="U505" s="43"/>
      <c r="V505" s="43"/>
      <c r="W505" s="43"/>
      <c r="X505" s="43"/>
      <c r="Y505" s="43"/>
      <c r="Z505" s="43"/>
    </row>
    <row r="506" spans="1:26" ht="28.75" customHeight="1" x14ac:dyDescent="0.2">
      <c r="A506" s="42" t="s">
        <v>1</v>
      </c>
      <c r="B506" s="41" t="s">
        <v>1929</v>
      </c>
      <c r="C506" s="41"/>
      <c r="D506" s="41"/>
      <c r="E506" s="41"/>
      <c r="F506" s="41"/>
      <c r="G506" s="41"/>
      <c r="H506" s="41"/>
      <c r="I506" s="40" t="s">
        <v>2154</v>
      </c>
      <c r="J506" s="28">
        <f>IF(ISNUMBER(SEARCH("x",I506)),0.5,0)</f>
        <v>0.5</v>
      </c>
      <c r="K506" s="19"/>
      <c r="M506" s="43"/>
      <c r="N506" s="43"/>
      <c r="O506" s="43"/>
      <c r="P506" s="43"/>
      <c r="Q506" s="43"/>
      <c r="R506" s="43"/>
      <c r="S506" s="43"/>
      <c r="T506" s="43"/>
      <c r="U506" s="43"/>
      <c r="V506" s="43"/>
      <c r="W506" s="43"/>
      <c r="X506" s="43"/>
      <c r="Y506" s="43"/>
      <c r="Z506" s="43"/>
    </row>
    <row r="507" spans="1:26" ht="16" x14ac:dyDescent="0.2">
      <c r="A507" s="34" t="s">
        <v>2</v>
      </c>
      <c r="B507" s="33" t="s">
        <v>1928</v>
      </c>
      <c r="C507" s="33"/>
      <c r="D507" s="33"/>
      <c r="E507" s="33"/>
      <c r="F507" s="33"/>
      <c r="G507" s="33"/>
      <c r="H507" s="33"/>
      <c r="J507" s="28">
        <f>IF(ISNUMBER(SEARCH("x",I507)),-0.5,0)</f>
        <v>0</v>
      </c>
      <c r="K507" s="19"/>
      <c r="M507" s="43"/>
      <c r="N507" s="43"/>
      <c r="O507" s="43"/>
      <c r="P507" s="43"/>
      <c r="Q507" s="43"/>
      <c r="R507" s="43"/>
      <c r="S507" s="43"/>
      <c r="T507" s="43"/>
      <c r="U507" s="43"/>
      <c r="V507" s="43"/>
      <c r="W507" s="43"/>
      <c r="X507" s="43"/>
      <c r="Y507" s="43"/>
      <c r="Z507" s="43"/>
    </row>
    <row r="508" spans="1:26" ht="16" x14ac:dyDescent="0.2">
      <c r="A508" s="34" t="s">
        <v>3</v>
      </c>
      <c r="B508" s="33" t="s">
        <v>1927</v>
      </c>
      <c r="C508" s="33"/>
      <c r="D508" s="33"/>
      <c r="E508" s="33"/>
      <c r="F508" s="33"/>
      <c r="G508" s="33"/>
      <c r="H508" s="33"/>
      <c r="J508" s="28">
        <f>IF(ISNUMBER(SEARCH("x",I508)),-0.5,0)</f>
        <v>0</v>
      </c>
      <c r="K508" s="19"/>
      <c r="M508" s="43"/>
      <c r="N508" s="43"/>
      <c r="O508" s="43"/>
      <c r="P508" s="43"/>
      <c r="Q508" s="43"/>
      <c r="R508" s="43"/>
      <c r="S508" s="43"/>
      <c r="T508" s="43"/>
      <c r="U508" s="43"/>
      <c r="V508" s="43"/>
      <c r="W508" s="43"/>
      <c r="X508" s="43"/>
      <c r="Y508" s="43"/>
      <c r="Z508" s="43"/>
    </row>
    <row r="509" spans="1:26" ht="16" x14ac:dyDescent="0.2">
      <c r="A509" s="42" t="s">
        <v>6</v>
      </c>
      <c r="B509" s="41" t="s">
        <v>1926</v>
      </c>
      <c r="C509" s="41"/>
      <c r="D509" s="41"/>
      <c r="E509" s="41"/>
      <c r="F509" s="41"/>
      <c r="G509" s="41"/>
      <c r="H509" s="41"/>
      <c r="I509" s="40" t="s">
        <v>2154</v>
      </c>
      <c r="J509" s="28">
        <f>IF(ISNUMBER(SEARCH("x",I509)),0.5,0)</f>
        <v>0.5</v>
      </c>
      <c r="K509" s="19"/>
      <c r="M509" s="43"/>
      <c r="N509" s="43"/>
      <c r="O509" s="43"/>
      <c r="P509" s="43"/>
      <c r="Q509" s="43"/>
      <c r="R509" s="43"/>
      <c r="S509" s="43"/>
      <c r="T509" s="43"/>
      <c r="U509" s="43"/>
      <c r="V509" s="43"/>
      <c r="W509" s="43"/>
      <c r="X509" s="43"/>
      <c r="Y509" s="43"/>
      <c r="Z509" s="43"/>
    </row>
    <row r="510" spans="1:26" s="27" customFormat="1" x14ac:dyDescent="0.2"/>
    <row r="511" spans="1:26" x14ac:dyDescent="0.2">
      <c r="A511" s="37" t="s">
        <v>1925</v>
      </c>
      <c r="B511" s="37"/>
      <c r="C511" s="37"/>
      <c r="D511" s="37"/>
      <c r="E511" s="37"/>
      <c r="F511" s="37"/>
      <c r="G511" s="37"/>
      <c r="H511" s="37"/>
      <c r="I511" s="36" t="s">
        <v>1858</v>
      </c>
      <c r="M511" s="43" t="s">
        <v>2169</v>
      </c>
      <c r="N511" s="39"/>
      <c r="O511" s="39"/>
      <c r="P511" s="39"/>
      <c r="Q511" s="39"/>
      <c r="R511" s="39"/>
      <c r="S511" s="39"/>
      <c r="T511" s="39"/>
      <c r="U511" s="39"/>
      <c r="V511" s="39"/>
      <c r="W511" s="39"/>
      <c r="X511" s="39"/>
      <c r="Y511" s="39"/>
      <c r="Z511" s="39"/>
    </row>
    <row r="512" spans="1:26" x14ac:dyDescent="0.2">
      <c r="A512" s="35" t="s">
        <v>1924</v>
      </c>
      <c r="B512" s="35"/>
      <c r="C512" s="35"/>
      <c r="D512" s="35"/>
      <c r="E512" s="35"/>
      <c r="F512" s="35"/>
      <c r="G512" s="35"/>
      <c r="H512" s="35"/>
      <c r="I512" s="35"/>
      <c r="M512" s="39"/>
      <c r="N512" s="39"/>
      <c r="O512" s="39"/>
      <c r="P512" s="39"/>
      <c r="Q512" s="39"/>
      <c r="R512" s="39"/>
      <c r="S512" s="39"/>
      <c r="T512" s="39"/>
      <c r="U512" s="39"/>
      <c r="V512" s="39"/>
      <c r="W512" s="39"/>
      <c r="X512" s="39"/>
      <c r="Y512" s="39"/>
      <c r="Z512" s="39"/>
    </row>
    <row r="513" spans="1:26" x14ac:dyDescent="0.2">
      <c r="A513" s="35"/>
      <c r="B513" s="35"/>
      <c r="C513" s="35"/>
      <c r="D513" s="35"/>
      <c r="E513" s="35"/>
      <c r="F513" s="35"/>
      <c r="G513" s="35"/>
      <c r="H513" s="35"/>
      <c r="I513" s="35"/>
      <c r="M513" s="39"/>
      <c r="N513" s="39"/>
      <c r="O513" s="39"/>
      <c r="P513" s="39"/>
      <c r="Q513" s="39"/>
      <c r="R513" s="39"/>
      <c r="S513" s="39"/>
      <c r="T513" s="39"/>
      <c r="U513" s="39"/>
      <c r="V513" s="39"/>
      <c r="W513" s="39"/>
      <c r="X513" s="39"/>
      <c r="Y513" s="39"/>
      <c r="Z513" s="39"/>
    </row>
    <row r="514" spans="1:26" x14ac:dyDescent="0.2">
      <c r="A514" s="35"/>
      <c r="B514" s="35"/>
      <c r="C514" s="35"/>
      <c r="D514" s="35"/>
      <c r="E514" s="35"/>
      <c r="F514" s="35"/>
      <c r="G514" s="35"/>
      <c r="H514" s="35"/>
      <c r="I514" s="35"/>
      <c r="M514" s="39"/>
      <c r="N514" s="39"/>
      <c r="O514" s="39"/>
      <c r="P514" s="39"/>
      <c r="Q514" s="39"/>
      <c r="R514" s="39"/>
      <c r="S514" s="39"/>
      <c r="T514" s="39"/>
      <c r="U514" s="39"/>
      <c r="V514" s="39"/>
      <c r="W514" s="39"/>
      <c r="X514" s="39"/>
      <c r="Y514" s="39"/>
      <c r="Z514" s="39"/>
    </row>
    <row r="515" spans="1:26" ht="48" customHeight="1" x14ac:dyDescent="0.2">
      <c r="A515" s="35"/>
      <c r="B515" s="35"/>
      <c r="C515" s="35"/>
      <c r="D515" s="35"/>
      <c r="E515" s="35"/>
      <c r="F515" s="35"/>
      <c r="G515" s="35"/>
      <c r="H515" s="35"/>
      <c r="I515" s="35"/>
      <c r="M515" s="39"/>
      <c r="N515" s="39"/>
      <c r="O515" s="39"/>
      <c r="P515" s="39"/>
      <c r="Q515" s="39"/>
      <c r="R515" s="39"/>
      <c r="S515" s="39"/>
      <c r="T515" s="39"/>
      <c r="U515" s="39"/>
      <c r="V515" s="39"/>
      <c r="W515" s="39"/>
      <c r="X515" s="39"/>
      <c r="Y515" s="39"/>
      <c r="Z515" s="39"/>
    </row>
    <row r="516" spans="1:26" ht="16" x14ac:dyDescent="0.2">
      <c r="A516" s="42" t="s">
        <v>0</v>
      </c>
      <c r="B516" s="41" t="s">
        <v>1923</v>
      </c>
      <c r="C516" s="41"/>
      <c r="D516" s="41"/>
      <c r="E516" s="41"/>
      <c r="F516" s="41"/>
      <c r="G516" s="41"/>
      <c r="H516" s="41"/>
      <c r="I516" s="40" t="s">
        <v>2154</v>
      </c>
      <c r="J516" s="28">
        <f>IF(ISNUMBER(SEARCH("x",I516)),1,0)</f>
        <v>1</v>
      </c>
      <c r="K516" s="19">
        <f>SUM(J516:J519)</f>
        <v>1</v>
      </c>
      <c r="M516" s="39"/>
      <c r="N516" s="39"/>
      <c r="O516" s="39"/>
      <c r="P516" s="39"/>
      <c r="Q516" s="39"/>
      <c r="R516" s="39"/>
      <c r="S516" s="39"/>
      <c r="T516" s="39"/>
      <c r="U516" s="39"/>
      <c r="V516" s="39"/>
      <c r="W516" s="39"/>
      <c r="X516" s="39"/>
      <c r="Y516" s="39"/>
      <c r="Z516" s="39"/>
    </row>
    <row r="517" spans="1:26" ht="16" x14ac:dyDescent="0.2">
      <c r="A517" s="34" t="s">
        <v>1</v>
      </c>
      <c r="B517" s="33" t="s">
        <v>1922</v>
      </c>
      <c r="C517" s="33"/>
      <c r="D517" s="33"/>
      <c r="E517" s="33"/>
      <c r="F517" s="33"/>
      <c r="G517" s="33"/>
      <c r="H517" s="33"/>
      <c r="J517" s="38">
        <v>0</v>
      </c>
      <c r="K517" s="19"/>
      <c r="M517" s="39"/>
      <c r="N517" s="39"/>
      <c r="O517" s="39"/>
      <c r="P517" s="39"/>
      <c r="Q517" s="39"/>
      <c r="R517" s="39"/>
      <c r="S517" s="39"/>
      <c r="T517" s="39"/>
      <c r="U517" s="39"/>
      <c r="V517" s="39"/>
      <c r="W517" s="39"/>
      <c r="X517" s="39"/>
      <c r="Y517" s="39"/>
      <c r="Z517" s="39"/>
    </row>
    <row r="518" spans="1:26" ht="16" x14ac:dyDescent="0.2">
      <c r="A518" s="34" t="s">
        <v>2</v>
      </c>
      <c r="B518" s="33" t="s">
        <v>98</v>
      </c>
      <c r="C518" s="33"/>
      <c r="D518" s="33"/>
      <c r="E518" s="33"/>
      <c r="F518" s="33"/>
      <c r="G518" s="33"/>
      <c r="H518" s="33"/>
      <c r="J518" s="38">
        <v>0</v>
      </c>
      <c r="K518" s="19"/>
      <c r="M518" s="39"/>
      <c r="N518" s="39"/>
      <c r="O518" s="39"/>
      <c r="P518" s="39"/>
      <c r="Q518" s="39"/>
      <c r="R518" s="39"/>
      <c r="S518" s="39"/>
      <c r="T518" s="39"/>
      <c r="U518" s="39"/>
      <c r="V518" s="39"/>
      <c r="W518" s="39"/>
      <c r="X518" s="39"/>
      <c r="Y518" s="39"/>
      <c r="Z518" s="39"/>
    </row>
    <row r="519" spans="1:26" ht="16" x14ac:dyDescent="0.2">
      <c r="A519" s="34" t="s">
        <v>3</v>
      </c>
      <c r="B519" s="33" t="s">
        <v>496</v>
      </c>
      <c r="C519" s="33"/>
      <c r="D519" s="33"/>
      <c r="E519" s="33"/>
      <c r="F519" s="33"/>
      <c r="G519" s="33"/>
      <c r="H519" s="33"/>
      <c r="J519" s="38">
        <v>0</v>
      </c>
      <c r="K519" s="19"/>
      <c r="M519" s="39"/>
      <c r="N519" s="39"/>
      <c r="O519" s="39"/>
      <c r="P519" s="39"/>
      <c r="Q519" s="39"/>
      <c r="R519" s="39"/>
      <c r="S519" s="39"/>
      <c r="T519" s="39"/>
      <c r="U519" s="39"/>
      <c r="V519" s="39"/>
      <c r="W519" s="39"/>
      <c r="X519" s="39"/>
      <c r="Y519" s="39"/>
      <c r="Z519" s="39"/>
    </row>
    <row r="520" spans="1:26" s="27" customFormat="1" x14ac:dyDescent="0.2"/>
    <row r="521" spans="1:26" x14ac:dyDescent="0.2">
      <c r="A521" s="37" t="s">
        <v>1921</v>
      </c>
      <c r="B521" s="37"/>
      <c r="C521" s="37"/>
      <c r="D521" s="37"/>
      <c r="E521" s="37"/>
      <c r="F521" s="37"/>
      <c r="G521" s="37"/>
      <c r="H521" s="37"/>
      <c r="I521" s="36" t="s">
        <v>1858</v>
      </c>
      <c r="M521" s="43" t="s">
        <v>2168</v>
      </c>
      <c r="N521" s="39"/>
      <c r="O521" s="39"/>
      <c r="P521" s="39"/>
      <c r="Q521" s="39"/>
      <c r="R521" s="39"/>
      <c r="S521" s="39"/>
      <c r="T521" s="39"/>
      <c r="U521" s="39"/>
      <c r="V521" s="39"/>
      <c r="W521" s="39"/>
      <c r="X521" s="39"/>
      <c r="Y521" s="39"/>
      <c r="Z521" s="39"/>
    </row>
    <row r="522" spans="1:26" x14ac:dyDescent="0.2">
      <c r="A522" s="35" t="s">
        <v>1920</v>
      </c>
      <c r="B522" s="35"/>
      <c r="C522" s="35"/>
      <c r="D522" s="35"/>
      <c r="E522" s="35"/>
      <c r="F522" s="35"/>
      <c r="G522" s="35"/>
      <c r="H522" s="35"/>
      <c r="I522" s="35"/>
      <c r="M522" s="39"/>
      <c r="N522" s="39"/>
      <c r="O522" s="39"/>
      <c r="P522" s="39"/>
      <c r="Q522" s="39"/>
      <c r="R522" s="39"/>
      <c r="S522" s="39"/>
      <c r="T522" s="39"/>
      <c r="U522" s="39"/>
      <c r="V522" s="39"/>
      <c r="W522" s="39"/>
      <c r="X522" s="39"/>
      <c r="Y522" s="39"/>
      <c r="Z522" s="39"/>
    </row>
    <row r="523" spans="1:26" x14ac:dyDescent="0.2">
      <c r="A523" s="35"/>
      <c r="B523" s="35"/>
      <c r="C523" s="35"/>
      <c r="D523" s="35"/>
      <c r="E523" s="35"/>
      <c r="F523" s="35"/>
      <c r="G523" s="35"/>
      <c r="H523" s="35"/>
      <c r="I523" s="35"/>
      <c r="M523" s="39"/>
      <c r="N523" s="39"/>
      <c r="O523" s="39"/>
      <c r="P523" s="39"/>
      <c r="Q523" s="39"/>
      <c r="R523" s="39"/>
      <c r="S523" s="39"/>
      <c r="T523" s="39"/>
      <c r="U523" s="39"/>
      <c r="V523" s="39"/>
      <c r="W523" s="39"/>
      <c r="X523" s="39"/>
      <c r="Y523" s="39"/>
      <c r="Z523" s="39"/>
    </row>
    <row r="524" spans="1:26" x14ac:dyDescent="0.2">
      <c r="A524" s="35"/>
      <c r="B524" s="35"/>
      <c r="C524" s="35"/>
      <c r="D524" s="35"/>
      <c r="E524" s="35"/>
      <c r="F524" s="35"/>
      <c r="G524" s="35"/>
      <c r="H524" s="35"/>
      <c r="I524" s="35"/>
      <c r="M524" s="39"/>
      <c r="N524" s="39"/>
      <c r="O524" s="39"/>
      <c r="P524" s="39"/>
      <c r="Q524" s="39"/>
      <c r="R524" s="39"/>
      <c r="S524" s="39"/>
      <c r="T524" s="39"/>
      <c r="U524" s="39"/>
      <c r="V524" s="39"/>
      <c r="W524" s="39"/>
      <c r="X524" s="39"/>
      <c r="Y524" s="39"/>
      <c r="Z524" s="39"/>
    </row>
    <row r="525" spans="1:26" x14ac:dyDescent="0.2">
      <c r="A525" s="35"/>
      <c r="B525" s="35"/>
      <c r="C525" s="35"/>
      <c r="D525" s="35"/>
      <c r="E525" s="35"/>
      <c r="F525" s="35"/>
      <c r="G525" s="35"/>
      <c r="H525" s="35"/>
      <c r="I525" s="35"/>
      <c r="M525" s="39"/>
      <c r="N525" s="39"/>
      <c r="O525" s="39"/>
      <c r="P525" s="39"/>
      <c r="Q525" s="39"/>
      <c r="R525" s="39"/>
      <c r="S525" s="39"/>
      <c r="T525" s="39"/>
      <c r="U525" s="39"/>
      <c r="V525" s="39"/>
      <c r="W525" s="39"/>
      <c r="X525" s="39"/>
      <c r="Y525" s="39"/>
      <c r="Z525" s="39"/>
    </row>
    <row r="526" spans="1:26" ht="28.75" customHeight="1" x14ac:dyDescent="0.2">
      <c r="A526" s="34" t="s">
        <v>0</v>
      </c>
      <c r="B526" s="33" t="s">
        <v>1919</v>
      </c>
      <c r="C526" s="33"/>
      <c r="D526" s="33"/>
      <c r="E526" s="33"/>
      <c r="F526" s="33"/>
      <c r="G526" s="33"/>
      <c r="H526" s="33"/>
      <c r="J526" s="28">
        <v>0</v>
      </c>
      <c r="K526" s="19">
        <f>SUM(J526:J529)</f>
        <v>1</v>
      </c>
      <c r="M526" s="39"/>
      <c r="N526" s="39"/>
      <c r="O526" s="39"/>
      <c r="P526" s="39"/>
      <c r="Q526" s="39"/>
      <c r="R526" s="39"/>
      <c r="S526" s="39"/>
      <c r="T526" s="39"/>
      <c r="U526" s="39"/>
      <c r="V526" s="39"/>
      <c r="W526" s="39"/>
      <c r="X526" s="39"/>
      <c r="Y526" s="39"/>
      <c r="Z526" s="39"/>
    </row>
    <row r="527" spans="1:26" ht="16" x14ac:dyDescent="0.2">
      <c r="A527" s="34" t="s">
        <v>1</v>
      </c>
      <c r="B527" s="33" t="s">
        <v>1918</v>
      </c>
      <c r="C527" s="33"/>
      <c r="D527" s="33"/>
      <c r="E527" s="33"/>
      <c r="F527" s="33"/>
      <c r="G527" s="33"/>
      <c r="H527" s="33"/>
      <c r="J527" s="28">
        <v>0</v>
      </c>
      <c r="K527" s="19"/>
      <c r="M527" s="39"/>
      <c r="N527" s="39"/>
      <c r="O527" s="39"/>
      <c r="P527" s="39"/>
      <c r="Q527" s="39"/>
      <c r="R527" s="39"/>
      <c r="S527" s="39"/>
      <c r="T527" s="39"/>
      <c r="U527" s="39"/>
      <c r="V527" s="39"/>
      <c r="W527" s="39"/>
      <c r="X527" s="39"/>
      <c r="Y527" s="39"/>
      <c r="Z527" s="39"/>
    </row>
    <row r="528" spans="1:26" ht="28.75" customHeight="1" x14ac:dyDescent="0.2">
      <c r="A528" s="42" t="s">
        <v>2</v>
      </c>
      <c r="B528" s="41" t="s">
        <v>1917</v>
      </c>
      <c r="C528" s="41"/>
      <c r="D528" s="41"/>
      <c r="E528" s="41"/>
      <c r="F528" s="41"/>
      <c r="G528" s="41"/>
      <c r="H528" s="41"/>
      <c r="I528" s="40" t="s">
        <v>2154</v>
      </c>
      <c r="J528" s="28">
        <f>IF(ISNUMBER(SEARCH("x",I528)),1,0)</f>
        <v>1</v>
      </c>
      <c r="K528" s="19"/>
      <c r="M528" s="39"/>
      <c r="N528" s="39"/>
      <c r="O528" s="39"/>
      <c r="P528" s="39"/>
      <c r="Q528" s="39"/>
      <c r="R528" s="39"/>
      <c r="S528" s="39"/>
      <c r="T528" s="39"/>
      <c r="U528" s="39"/>
      <c r="V528" s="39"/>
      <c r="W528" s="39"/>
      <c r="X528" s="39"/>
      <c r="Y528" s="39"/>
      <c r="Z528" s="39"/>
    </row>
    <row r="529" spans="1:26" ht="28.75" customHeight="1" x14ac:dyDescent="0.2">
      <c r="A529" s="34" t="s">
        <v>3</v>
      </c>
      <c r="B529" s="33" t="s">
        <v>1916</v>
      </c>
      <c r="C529" s="33"/>
      <c r="D529" s="33"/>
      <c r="E529" s="33"/>
      <c r="F529" s="33"/>
      <c r="G529" s="33"/>
      <c r="H529" s="33"/>
      <c r="J529" s="28">
        <v>0</v>
      </c>
      <c r="K529" s="19"/>
      <c r="M529" s="39"/>
      <c r="N529" s="39"/>
      <c r="O529" s="39"/>
      <c r="P529" s="39"/>
      <c r="Q529" s="39"/>
      <c r="R529" s="39"/>
      <c r="S529" s="39"/>
      <c r="T529" s="39"/>
      <c r="U529" s="39"/>
      <c r="V529" s="39"/>
      <c r="W529" s="39"/>
      <c r="X529" s="39"/>
      <c r="Y529" s="39"/>
      <c r="Z529" s="39"/>
    </row>
    <row r="530" spans="1:26" s="27" customFormat="1" x14ac:dyDescent="0.2"/>
    <row r="531" spans="1:26" x14ac:dyDescent="0.2">
      <c r="A531" s="37" t="s">
        <v>1915</v>
      </c>
      <c r="B531" s="37"/>
      <c r="C531" s="37"/>
      <c r="D531" s="37"/>
      <c r="E531" s="37"/>
      <c r="F531" s="37"/>
      <c r="G531" s="37"/>
      <c r="H531" s="37"/>
      <c r="I531" s="36" t="s">
        <v>1858</v>
      </c>
      <c r="M531" s="43" t="s">
        <v>2167</v>
      </c>
      <c r="N531" s="39"/>
      <c r="O531" s="39"/>
      <c r="P531" s="39"/>
      <c r="Q531" s="39"/>
      <c r="R531" s="39"/>
      <c r="S531" s="39"/>
      <c r="T531" s="39"/>
      <c r="U531" s="39"/>
      <c r="V531" s="39"/>
      <c r="W531" s="39"/>
      <c r="X531" s="39"/>
      <c r="Y531" s="39"/>
      <c r="Z531" s="39"/>
    </row>
    <row r="532" spans="1:26" x14ac:dyDescent="0.2">
      <c r="A532" s="35" t="s">
        <v>1914</v>
      </c>
      <c r="B532" s="35"/>
      <c r="C532" s="35"/>
      <c r="D532" s="35"/>
      <c r="E532" s="35"/>
      <c r="F532" s="35"/>
      <c r="G532" s="35"/>
      <c r="H532" s="35"/>
      <c r="I532" s="35"/>
      <c r="M532" s="39"/>
      <c r="N532" s="39"/>
      <c r="O532" s="39"/>
      <c r="P532" s="39"/>
      <c r="Q532" s="39"/>
      <c r="R532" s="39"/>
      <c r="S532" s="39"/>
      <c r="T532" s="39"/>
      <c r="U532" s="39"/>
      <c r="V532" s="39"/>
      <c r="W532" s="39"/>
      <c r="X532" s="39"/>
      <c r="Y532" s="39"/>
      <c r="Z532" s="39"/>
    </row>
    <row r="533" spans="1:26" x14ac:dyDescent="0.2">
      <c r="A533" s="35"/>
      <c r="B533" s="35"/>
      <c r="C533" s="35"/>
      <c r="D533" s="35"/>
      <c r="E533" s="35"/>
      <c r="F533" s="35"/>
      <c r="G533" s="35"/>
      <c r="H533" s="35"/>
      <c r="I533" s="35"/>
      <c r="M533" s="39"/>
      <c r="N533" s="39"/>
      <c r="O533" s="39"/>
      <c r="P533" s="39"/>
      <c r="Q533" s="39"/>
      <c r="R533" s="39"/>
      <c r="S533" s="39"/>
      <c r="T533" s="39"/>
      <c r="U533" s="39"/>
      <c r="V533" s="39"/>
      <c r="W533" s="39"/>
      <c r="X533" s="39"/>
      <c r="Y533" s="39"/>
      <c r="Z533" s="39"/>
    </row>
    <row r="534" spans="1:26" x14ac:dyDescent="0.2">
      <c r="A534" s="35"/>
      <c r="B534" s="35"/>
      <c r="C534" s="35"/>
      <c r="D534" s="35"/>
      <c r="E534" s="35"/>
      <c r="F534" s="35"/>
      <c r="G534" s="35"/>
      <c r="H534" s="35"/>
      <c r="I534" s="35"/>
      <c r="M534" s="39"/>
      <c r="N534" s="39"/>
      <c r="O534" s="39"/>
      <c r="P534" s="39"/>
      <c r="Q534" s="39"/>
      <c r="R534" s="39"/>
      <c r="S534" s="39"/>
      <c r="T534" s="39"/>
      <c r="U534" s="39"/>
      <c r="V534" s="39"/>
      <c r="W534" s="39"/>
      <c r="X534" s="39"/>
      <c r="Y534" s="39"/>
      <c r="Z534" s="39"/>
    </row>
    <row r="535" spans="1:26" x14ac:dyDescent="0.2">
      <c r="A535" s="35"/>
      <c r="B535" s="35"/>
      <c r="C535" s="35"/>
      <c r="D535" s="35"/>
      <c r="E535" s="35"/>
      <c r="F535" s="35"/>
      <c r="G535" s="35"/>
      <c r="H535" s="35"/>
      <c r="I535" s="35"/>
      <c r="M535" s="39"/>
      <c r="N535" s="39"/>
      <c r="O535" s="39"/>
      <c r="P535" s="39"/>
      <c r="Q535" s="39"/>
      <c r="R535" s="39"/>
      <c r="S535" s="39"/>
      <c r="T535" s="39"/>
      <c r="U535" s="39"/>
      <c r="V535" s="39"/>
      <c r="W535" s="39"/>
      <c r="X535" s="39"/>
      <c r="Y535" s="39"/>
      <c r="Z535" s="39"/>
    </row>
    <row r="536" spans="1:26" ht="16" x14ac:dyDescent="0.2">
      <c r="A536" s="34" t="s">
        <v>0</v>
      </c>
      <c r="B536" s="33" t="s">
        <v>1913</v>
      </c>
      <c r="C536" s="33"/>
      <c r="D536" s="33"/>
      <c r="E536" s="33"/>
      <c r="F536" s="33"/>
      <c r="G536" s="33"/>
      <c r="H536" s="33"/>
      <c r="J536" s="28">
        <v>0</v>
      </c>
      <c r="K536" s="19">
        <f>SUM(J536:J539)</f>
        <v>1</v>
      </c>
      <c r="M536" s="39"/>
      <c r="N536" s="39"/>
      <c r="O536" s="39"/>
      <c r="P536" s="39"/>
      <c r="Q536" s="39"/>
      <c r="R536" s="39"/>
      <c r="S536" s="39"/>
      <c r="T536" s="39"/>
      <c r="U536" s="39"/>
      <c r="V536" s="39"/>
      <c r="W536" s="39"/>
      <c r="X536" s="39"/>
      <c r="Y536" s="39"/>
      <c r="Z536" s="39"/>
    </row>
    <row r="537" spans="1:26" ht="16" x14ac:dyDescent="0.2">
      <c r="A537" s="42" t="s">
        <v>1</v>
      </c>
      <c r="B537" s="41" t="s">
        <v>1912</v>
      </c>
      <c r="C537" s="41"/>
      <c r="D537" s="41"/>
      <c r="E537" s="41"/>
      <c r="F537" s="41"/>
      <c r="G537" s="41"/>
      <c r="H537" s="41"/>
      <c r="I537" s="40" t="s">
        <v>2154</v>
      </c>
      <c r="J537" s="28">
        <f>IF(ISNUMBER(SEARCH("x",I537)),1,0)</f>
        <v>1</v>
      </c>
      <c r="K537" s="19"/>
      <c r="M537" s="39"/>
      <c r="N537" s="39"/>
      <c r="O537" s="39"/>
      <c r="P537" s="39"/>
      <c r="Q537" s="39"/>
      <c r="R537" s="39"/>
      <c r="S537" s="39"/>
      <c r="T537" s="39"/>
      <c r="U537" s="39"/>
      <c r="V537" s="39"/>
      <c r="W537" s="39"/>
      <c r="X537" s="39"/>
      <c r="Y537" s="39"/>
      <c r="Z537" s="39"/>
    </row>
    <row r="538" spans="1:26" ht="16" x14ac:dyDescent="0.2">
      <c r="A538" s="34" t="s">
        <v>2</v>
      </c>
      <c r="B538" s="33" t="s">
        <v>782</v>
      </c>
      <c r="C538" s="33"/>
      <c r="D538" s="33"/>
      <c r="E538" s="33"/>
      <c r="F538" s="33"/>
      <c r="G538" s="33"/>
      <c r="H538" s="33"/>
      <c r="J538" s="38">
        <v>0</v>
      </c>
      <c r="K538" s="19"/>
      <c r="M538" s="39"/>
      <c r="N538" s="39"/>
      <c r="O538" s="39"/>
      <c r="P538" s="39"/>
      <c r="Q538" s="39"/>
      <c r="R538" s="39"/>
      <c r="S538" s="39"/>
      <c r="T538" s="39"/>
      <c r="U538" s="39"/>
      <c r="V538" s="39"/>
      <c r="W538" s="39"/>
      <c r="X538" s="39"/>
      <c r="Y538" s="39"/>
      <c r="Z538" s="39"/>
    </row>
    <row r="539" spans="1:26" ht="16" x14ac:dyDescent="0.2">
      <c r="A539" s="34" t="s">
        <v>3</v>
      </c>
      <c r="B539" s="33" t="s">
        <v>674</v>
      </c>
      <c r="C539" s="33"/>
      <c r="D539" s="33"/>
      <c r="E539" s="33"/>
      <c r="F539" s="33"/>
      <c r="G539" s="33"/>
      <c r="H539" s="33"/>
      <c r="J539" s="28">
        <v>0</v>
      </c>
      <c r="K539" s="19"/>
      <c r="M539" s="39"/>
      <c r="N539" s="39"/>
      <c r="O539" s="39"/>
      <c r="P539" s="39"/>
      <c r="Q539" s="39"/>
      <c r="R539" s="39"/>
      <c r="S539" s="39"/>
      <c r="T539" s="39"/>
      <c r="U539" s="39"/>
      <c r="V539" s="39"/>
      <c r="W539" s="39"/>
      <c r="X539" s="39"/>
      <c r="Y539" s="39"/>
      <c r="Z539" s="39"/>
    </row>
    <row r="540" spans="1:26" s="27" customFormat="1" x14ac:dyDescent="0.2"/>
    <row r="541" spans="1:26" x14ac:dyDescent="0.2">
      <c r="A541" s="37" t="s">
        <v>1911</v>
      </c>
      <c r="B541" s="37"/>
      <c r="C541" s="37"/>
      <c r="D541" s="37"/>
      <c r="E541" s="37"/>
      <c r="F541" s="37"/>
      <c r="G541" s="37"/>
      <c r="H541" s="37"/>
      <c r="I541" s="36" t="s">
        <v>1858</v>
      </c>
      <c r="M541" s="43" t="s">
        <v>2166</v>
      </c>
      <c r="N541" s="39"/>
      <c r="O541" s="39"/>
      <c r="P541" s="39"/>
      <c r="Q541" s="39"/>
      <c r="R541" s="39"/>
      <c r="S541" s="39"/>
      <c r="T541" s="39"/>
      <c r="U541" s="39"/>
      <c r="V541" s="39"/>
      <c r="W541" s="39"/>
      <c r="X541" s="39"/>
      <c r="Y541" s="39"/>
      <c r="Z541" s="39"/>
    </row>
    <row r="542" spans="1:26" x14ac:dyDescent="0.2">
      <c r="A542" s="35" t="s">
        <v>1910</v>
      </c>
      <c r="B542" s="35"/>
      <c r="C542" s="35"/>
      <c r="D542" s="35"/>
      <c r="E542" s="35"/>
      <c r="F542" s="35"/>
      <c r="G542" s="35"/>
      <c r="H542" s="35"/>
      <c r="I542" s="35"/>
      <c r="M542" s="39"/>
      <c r="N542" s="39"/>
      <c r="O542" s="39"/>
      <c r="P542" s="39"/>
      <c r="Q542" s="39"/>
      <c r="R542" s="39"/>
      <c r="S542" s="39"/>
      <c r="T542" s="39"/>
      <c r="U542" s="39"/>
      <c r="V542" s="39"/>
      <c r="W542" s="39"/>
      <c r="X542" s="39"/>
      <c r="Y542" s="39"/>
      <c r="Z542" s="39"/>
    </row>
    <row r="543" spans="1:26" x14ac:dyDescent="0.2">
      <c r="A543" s="35"/>
      <c r="B543" s="35"/>
      <c r="C543" s="35"/>
      <c r="D543" s="35"/>
      <c r="E543" s="35"/>
      <c r="F543" s="35"/>
      <c r="G543" s="35"/>
      <c r="H543" s="35"/>
      <c r="I543" s="35"/>
      <c r="M543" s="39"/>
      <c r="N543" s="39"/>
      <c r="O543" s="39"/>
      <c r="P543" s="39"/>
      <c r="Q543" s="39"/>
      <c r="R543" s="39"/>
      <c r="S543" s="39"/>
      <c r="T543" s="39"/>
      <c r="U543" s="39"/>
      <c r="V543" s="39"/>
      <c r="W543" s="39"/>
      <c r="X543" s="39"/>
      <c r="Y543" s="39"/>
      <c r="Z543" s="39"/>
    </row>
    <row r="544" spans="1:26" x14ac:dyDescent="0.2">
      <c r="A544" s="35"/>
      <c r="B544" s="35"/>
      <c r="C544" s="35"/>
      <c r="D544" s="35"/>
      <c r="E544" s="35"/>
      <c r="F544" s="35"/>
      <c r="G544" s="35"/>
      <c r="H544" s="35"/>
      <c r="I544" s="35"/>
      <c r="M544" s="39"/>
      <c r="N544" s="39"/>
      <c r="O544" s="39"/>
      <c r="P544" s="39"/>
      <c r="Q544" s="39"/>
      <c r="R544" s="39"/>
      <c r="S544" s="39"/>
      <c r="T544" s="39"/>
      <c r="U544" s="39"/>
      <c r="V544" s="39"/>
      <c r="W544" s="39"/>
      <c r="X544" s="39"/>
      <c r="Y544" s="39"/>
      <c r="Z544" s="39"/>
    </row>
    <row r="545" spans="1:26" ht="125.5" customHeight="1" x14ac:dyDescent="0.2">
      <c r="A545" s="35"/>
      <c r="B545" s="35"/>
      <c r="C545" s="35"/>
      <c r="D545" s="35"/>
      <c r="E545" s="35"/>
      <c r="F545" s="35"/>
      <c r="G545" s="35"/>
      <c r="H545" s="35"/>
      <c r="I545" s="35"/>
      <c r="M545" s="39"/>
      <c r="N545" s="39"/>
      <c r="O545" s="39"/>
      <c r="P545" s="39"/>
      <c r="Q545" s="39"/>
      <c r="R545" s="39"/>
      <c r="S545" s="39"/>
      <c r="T545" s="39"/>
      <c r="U545" s="39"/>
      <c r="V545" s="39"/>
      <c r="W545" s="39"/>
      <c r="X545" s="39"/>
      <c r="Y545" s="39"/>
      <c r="Z545" s="39"/>
    </row>
    <row r="546" spans="1:26" ht="16" x14ac:dyDescent="0.2">
      <c r="A546" s="34" t="s">
        <v>0</v>
      </c>
      <c r="B546" s="33" t="s">
        <v>1909</v>
      </c>
      <c r="C546" s="33"/>
      <c r="D546" s="33"/>
      <c r="E546" s="33"/>
      <c r="F546" s="33"/>
      <c r="G546" s="33"/>
      <c r="H546" s="33"/>
      <c r="J546" s="28">
        <v>0</v>
      </c>
      <c r="K546" s="19">
        <f>SUM(J546:J549)</f>
        <v>1</v>
      </c>
      <c r="M546" s="39"/>
      <c r="N546" s="39"/>
      <c r="O546" s="39"/>
      <c r="P546" s="39"/>
      <c r="Q546" s="39"/>
      <c r="R546" s="39"/>
      <c r="S546" s="39"/>
      <c r="T546" s="39"/>
      <c r="U546" s="39"/>
      <c r="V546" s="39"/>
      <c r="W546" s="39"/>
      <c r="X546" s="39"/>
      <c r="Y546" s="39"/>
      <c r="Z546" s="39"/>
    </row>
    <row r="547" spans="1:26" ht="16" x14ac:dyDescent="0.2">
      <c r="A547" s="42" t="s">
        <v>1</v>
      </c>
      <c r="B547" s="41" t="s">
        <v>1908</v>
      </c>
      <c r="C547" s="41"/>
      <c r="D547" s="41"/>
      <c r="E547" s="41"/>
      <c r="F547" s="41"/>
      <c r="G547" s="41"/>
      <c r="H547" s="41"/>
      <c r="I547" s="40" t="s">
        <v>2154</v>
      </c>
      <c r="J547" s="28">
        <f>IF(ISNUMBER(SEARCH("x",I547)),1,0)</f>
        <v>1</v>
      </c>
      <c r="K547" s="19"/>
      <c r="M547" s="39"/>
      <c r="N547" s="39"/>
      <c r="O547" s="39"/>
      <c r="P547" s="39"/>
      <c r="Q547" s="39"/>
      <c r="R547" s="39"/>
      <c r="S547" s="39"/>
      <c r="T547" s="39"/>
      <c r="U547" s="39"/>
      <c r="V547" s="39"/>
      <c r="W547" s="39"/>
      <c r="X547" s="39"/>
      <c r="Y547" s="39"/>
      <c r="Z547" s="39"/>
    </row>
    <row r="548" spans="1:26" ht="16" x14ac:dyDescent="0.2">
      <c r="A548" s="34" t="s">
        <v>2</v>
      </c>
      <c r="B548" s="33" t="s">
        <v>1455</v>
      </c>
      <c r="C548" s="33"/>
      <c r="D548" s="33"/>
      <c r="E548" s="33"/>
      <c r="F548" s="33"/>
      <c r="G548" s="33"/>
      <c r="H548" s="33"/>
      <c r="J548" s="38">
        <v>0</v>
      </c>
      <c r="K548" s="19"/>
      <c r="M548" s="39"/>
      <c r="N548" s="39"/>
      <c r="O548" s="39"/>
      <c r="P548" s="39"/>
      <c r="Q548" s="39"/>
      <c r="R548" s="39"/>
      <c r="S548" s="39"/>
      <c r="T548" s="39"/>
      <c r="U548" s="39"/>
      <c r="V548" s="39"/>
      <c r="W548" s="39"/>
      <c r="X548" s="39"/>
      <c r="Y548" s="39"/>
      <c r="Z548" s="39"/>
    </row>
    <row r="549" spans="1:26" ht="16" x14ac:dyDescent="0.2">
      <c r="A549" s="34" t="s">
        <v>3</v>
      </c>
      <c r="B549" s="33" t="s">
        <v>1907</v>
      </c>
      <c r="C549" s="33"/>
      <c r="D549" s="33"/>
      <c r="E549" s="33"/>
      <c r="F549" s="33"/>
      <c r="G549" s="33"/>
      <c r="H549" s="33"/>
      <c r="J549" s="28">
        <v>0</v>
      </c>
      <c r="K549" s="19"/>
      <c r="M549" s="39"/>
      <c r="N549" s="39"/>
      <c r="O549" s="39"/>
      <c r="P549" s="39"/>
      <c r="Q549" s="39"/>
      <c r="R549" s="39"/>
      <c r="S549" s="39"/>
      <c r="T549" s="39"/>
      <c r="U549" s="39"/>
      <c r="V549" s="39"/>
      <c r="W549" s="39"/>
      <c r="X549" s="39"/>
      <c r="Y549" s="39"/>
      <c r="Z549" s="39"/>
    </row>
    <row r="550" spans="1:26" s="27" customFormat="1" x14ac:dyDescent="0.2"/>
    <row r="551" spans="1:26" x14ac:dyDescent="0.2">
      <c r="A551" s="37" t="s">
        <v>1906</v>
      </c>
      <c r="B551" s="37"/>
      <c r="C551" s="37"/>
      <c r="D551" s="37"/>
      <c r="E551" s="37"/>
      <c r="F551" s="37"/>
      <c r="G551" s="37"/>
      <c r="H551" s="37"/>
      <c r="I551" s="36" t="s">
        <v>1858</v>
      </c>
      <c r="M551" s="43" t="s">
        <v>2165</v>
      </c>
      <c r="N551" s="39"/>
      <c r="O551" s="39"/>
      <c r="P551" s="39"/>
      <c r="Q551" s="39"/>
      <c r="R551" s="39"/>
      <c r="S551" s="39"/>
      <c r="T551" s="39"/>
      <c r="U551" s="39"/>
      <c r="V551" s="39"/>
      <c r="W551" s="39"/>
      <c r="X551" s="39"/>
      <c r="Y551" s="39"/>
      <c r="Z551" s="39"/>
    </row>
    <row r="552" spans="1:26" x14ac:dyDescent="0.2">
      <c r="A552" s="35" t="s">
        <v>1905</v>
      </c>
      <c r="B552" s="35"/>
      <c r="C552" s="35"/>
      <c r="D552" s="35"/>
      <c r="E552" s="35"/>
      <c r="F552" s="35"/>
      <c r="G552" s="35"/>
      <c r="H552" s="35"/>
      <c r="I552" s="35"/>
      <c r="M552" s="39"/>
      <c r="N552" s="39"/>
      <c r="O552" s="39"/>
      <c r="P552" s="39"/>
      <c r="Q552" s="39"/>
      <c r="R552" s="39"/>
      <c r="S552" s="39"/>
      <c r="T552" s="39"/>
      <c r="U552" s="39"/>
      <c r="V552" s="39"/>
      <c r="W552" s="39"/>
      <c r="X552" s="39"/>
      <c r="Y552" s="39"/>
      <c r="Z552" s="39"/>
    </row>
    <row r="553" spans="1:26" x14ac:dyDescent="0.2">
      <c r="A553" s="35"/>
      <c r="B553" s="35"/>
      <c r="C553" s="35"/>
      <c r="D553" s="35"/>
      <c r="E553" s="35"/>
      <c r="F553" s="35"/>
      <c r="G553" s="35"/>
      <c r="H553" s="35"/>
      <c r="I553" s="35"/>
      <c r="M553" s="39"/>
      <c r="N553" s="39"/>
      <c r="O553" s="39"/>
      <c r="P553" s="39"/>
      <c r="Q553" s="39"/>
      <c r="R553" s="39"/>
      <c r="S553" s="39"/>
      <c r="T553" s="39"/>
      <c r="U553" s="39"/>
      <c r="V553" s="39"/>
      <c r="W553" s="39"/>
      <c r="X553" s="39"/>
      <c r="Y553" s="39"/>
      <c r="Z553" s="39"/>
    </row>
    <row r="554" spans="1:26" x14ac:dyDescent="0.2">
      <c r="A554" s="35"/>
      <c r="B554" s="35"/>
      <c r="C554" s="35"/>
      <c r="D554" s="35"/>
      <c r="E554" s="35"/>
      <c r="F554" s="35"/>
      <c r="G554" s="35"/>
      <c r="H554" s="35"/>
      <c r="I554" s="35"/>
      <c r="M554" s="39"/>
      <c r="N554" s="39"/>
      <c r="O554" s="39"/>
      <c r="P554" s="39"/>
      <c r="Q554" s="39"/>
      <c r="R554" s="39"/>
      <c r="S554" s="39"/>
      <c r="T554" s="39"/>
      <c r="U554" s="39"/>
      <c r="V554" s="39"/>
      <c r="W554" s="39"/>
      <c r="X554" s="39"/>
      <c r="Y554" s="39"/>
      <c r="Z554" s="39"/>
    </row>
    <row r="555" spans="1:26" ht="79.75" customHeight="1" x14ac:dyDescent="0.2">
      <c r="A555" s="35"/>
      <c r="B555" s="35"/>
      <c r="C555" s="35"/>
      <c r="D555" s="35"/>
      <c r="E555" s="35"/>
      <c r="F555" s="35"/>
      <c r="G555" s="35"/>
      <c r="H555" s="35"/>
      <c r="I555" s="35"/>
      <c r="M555" s="39"/>
      <c r="N555" s="39"/>
      <c r="O555" s="39"/>
      <c r="P555" s="39"/>
      <c r="Q555" s="39"/>
      <c r="R555" s="39"/>
      <c r="S555" s="39"/>
      <c r="T555" s="39"/>
      <c r="U555" s="39"/>
      <c r="V555" s="39"/>
      <c r="W555" s="39"/>
      <c r="X555" s="39"/>
      <c r="Y555" s="39"/>
      <c r="Z555" s="39"/>
    </row>
    <row r="556" spans="1:26" ht="16" x14ac:dyDescent="0.2">
      <c r="A556" s="34" t="s">
        <v>0</v>
      </c>
      <c r="B556" s="33" t="s">
        <v>1904</v>
      </c>
      <c r="C556" s="33"/>
      <c r="D556" s="33"/>
      <c r="E556" s="33"/>
      <c r="F556" s="33"/>
      <c r="G556" s="33"/>
      <c r="H556" s="33"/>
      <c r="J556" s="28">
        <v>0</v>
      </c>
      <c r="K556" s="19">
        <f>SUM(J556:J559)</f>
        <v>1</v>
      </c>
      <c r="M556" s="39"/>
      <c r="N556" s="39"/>
      <c r="O556" s="39"/>
      <c r="P556" s="39"/>
      <c r="Q556" s="39"/>
      <c r="R556" s="39"/>
      <c r="S556" s="39"/>
      <c r="T556" s="39"/>
      <c r="U556" s="39"/>
      <c r="V556" s="39"/>
      <c r="W556" s="39"/>
      <c r="X556" s="39"/>
      <c r="Y556" s="39"/>
      <c r="Z556" s="39"/>
    </row>
    <row r="557" spans="1:26" ht="16" x14ac:dyDescent="0.2">
      <c r="A557" s="34" t="s">
        <v>1</v>
      </c>
      <c r="B557" s="33" t="s">
        <v>1903</v>
      </c>
      <c r="C557" s="33"/>
      <c r="D557" s="33"/>
      <c r="E557" s="33"/>
      <c r="F557" s="33"/>
      <c r="G557" s="33"/>
      <c r="H557" s="33"/>
      <c r="J557" s="28">
        <v>0</v>
      </c>
      <c r="K557" s="19"/>
      <c r="M557" s="39"/>
      <c r="N557" s="39"/>
      <c r="O557" s="39"/>
      <c r="P557" s="39"/>
      <c r="Q557" s="39"/>
      <c r="R557" s="39"/>
      <c r="S557" s="39"/>
      <c r="T557" s="39"/>
      <c r="U557" s="39"/>
      <c r="V557" s="39"/>
      <c r="W557" s="39"/>
      <c r="X557" s="39"/>
      <c r="Y557" s="39"/>
      <c r="Z557" s="39"/>
    </row>
    <row r="558" spans="1:26" ht="28.75" customHeight="1" x14ac:dyDescent="0.2">
      <c r="A558" s="42" t="s">
        <v>2</v>
      </c>
      <c r="B558" s="41" t="s">
        <v>1902</v>
      </c>
      <c r="C558" s="41"/>
      <c r="D558" s="41"/>
      <c r="E558" s="41"/>
      <c r="F558" s="41"/>
      <c r="G558" s="41"/>
      <c r="H558" s="41"/>
      <c r="I558" s="40" t="s">
        <v>2154</v>
      </c>
      <c r="J558" s="28">
        <f>IF(ISNUMBER(SEARCH("x",I558)),1,0)</f>
        <v>1</v>
      </c>
      <c r="K558" s="19"/>
      <c r="M558" s="39"/>
      <c r="N558" s="39"/>
      <c r="O558" s="39"/>
      <c r="P558" s="39"/>
      <c r="Q558" s="39"/>
      <c r="R558" s="39"/>
      <c r="S558" s="39"/>
      <c r="T558" s="39"/>
      <c r="U558" s="39"/>
      <c r="V558" s="39"/>
      <c r="W558" s="39"/>
      <c r="X558" s="39"/>
      <c r="Y558" s="39"/>
      <c r="Z558" s="39"/>
    </row>
    <row r="559" spans="1:26" ht="16" x14ac:dyDescent="0.2">
      <c r="A559" s="34" t="s">
        <v>3</v>
      </c>
      <c r="B559" s="33" t="s">
        <v>1901</v>
      </c>
      <c r="C559" s="33"/>
      <c r="D559" s="33"/>
      <c r="E559" s="33"/>
      <c r="F559" s="33"/>
      <c r="G559" s="33"/>
      <c r="H559" s="33"/>
      <c r="J559" s="28">
        <v>0</v>
      </c>
      <c r="K559" s="19"/>
      <c r="M559" s="39"/>
      <c r="N559" s="39"/>
      <c r="O559" s="39"/>
      <c r="P559" s="39"/>
      <c r="Q559" s="39"/>
      <c r="R559" s="39"/>
      <c r="S559" s="39"/>
      <c r="T559" s="39"/>
      <c r="U559" s="39"/>
      <c r="V559" s="39"/>
      <c r="W559" s="39"/>
      <c r="X559" s="39"/>
      <c r="Y559" s="39"/>
      <c r="Z559" s="39"/>
    </row>
    <row r="560" spans="1:26" s="27" customFormat="1" x14ac:dyDescent="0.2"/>
    <row r="561" spans="1:26" x14ac:dyDescent="0.2">
      <c r="A561" s="37" t="s">
        <v>1900</v>
      </c>
      <c r="B561" s="37"/>
      <c r="C561" s="37"/>
      <c r="D561" s="37"/>
      <c r="E561" s="37"/>
      <c r="F561" s="37"/>
      <c r="G561" s="37"/>
      <c r="H561" s="37"/>
      <c r="I561" s="36" t="s">
        <v>1858</v>
      </c>
      <c r="M561" s="43" t="s">
        <v>2164</v>
      </c>
      <c r="N561" s="39"/>
      <c r="O561" s="39"/>
      <c r="P561" s="39"/>
      <c r="Q561" s="39"/>
      <c r="R561" s="39"/>
      <c r="S561" s="39"/>
      <c r="T561" s="39"/>
      <c r="U561" s="39"/>
      <c r="V561" s="39"/>
      <c r="W561" s="39"/>
      <c r="X561" s="39"/>
      <c r="Y561" s="39"/>
      <c r="Z561" s="39"/>
    </row>
    <row r="562" spans="1:26" x14ac:dyDescent="0.2">
      <c r="A562" s="35" t="s">
        <v>1899</v>
      </c>
      <c r="B562" s="35"/>
      <c r="C562" s="35"/>
      <c r="D562" s="35"/>
      <c r="E562" s="35"/>
      <c r="F562" s="35"/>
      <c r="G562" s="35"/>
      <c r="H562" s="35"/>
      <c r="I562" s="35"/>
      <c r="M562" s="39"/>
      <c r="N562" s="39"/>
      <c r="O562" s="39"/>
      <c r="P562" s="39"/>
      <c r="Q562" s="39"/>
      <c r="R562" s="39"/>
      <c r="S562" s="39"/>
      <c r="T562" s="39"/>
      <c r="U562" s="39"/>
      <c r="V562" s="39"/>
      <c r="W562" s="39"/>
      <c r="X562" s="39"/>
      <c r="Y562" s="39"/>
      <c r="Z562" s="39"/>
    </row>
    <row r="563" spans="1:26" x14ac:dyDescent="0.2">
      <c r="A563" s="35"/>
      <c r="B563" s="35"/>
      <c r="C563" s="35"/>
      <c r="D563" s="35"/>
      <c r="E563" s="35"/>
      <c r="F563" s="35"/>
      <c r="G563" s="35"/>
      <c r="H563" s="35"/>
      <c r="I563" s="35"/>
      <c r="M563" s="39"/>
      <c r="N563" s="39"/>
      <c r="O563" s="39"/>
      <c r="P563" s="39"/>
      <c r="Q563" s="39"/>
      <c r="R563" s="39"/>
      <c r="S563" s="39"/>
      <c r="T563" s="39"/>
      <c r="U563" s="39"/>
      <c r="V563" s="39"/>
      <c r="W563" s="39"/>
      <c r="X563" s="39"/>
      <c r="Y563" s="39"/>
      <c r="Z563" s="39"/>
    </row>
    <row r="564" spans="1:26" x14ac:dyDescent="0.2">
      <c r="A564" s="35"/>
      <c r="B564" s="35"/>
      <c r="C564" s="35"/>
      <c r="D564" s="35"/>
      <c r="E564" s="35"/>
      <c r="F564" s="35"/>
      <c r="G564" s="35"/>
      <c r="H564" s="35"/>
      <c r="I564" s="35"/>
      <c r="M564" s="39"/>
      <c r="N564" s="39"/>
      <c r="O564" s="39"/>
      <c r="P564" s="39"/>
      <c r="Q564" s="39"/>
      <c r="R564" s="39"/>
      <c r="S564" s="39"/>
      <c r="T564" s="39"/>
      <c r="U564" s="39"/>
      <c r="V564" s="39"/>
      <c r="W564" s="39"/>
      <c r="X564" s="39"/>
      <c r="Y564" s="39"/>
      <c r="Z564" s="39"/>
    </row>
    <row r="565" spans="1:26" x14ac:dyDescent="0.2">
      <c r="A565" s="35"/>
      <c r="B565" s="35"/>
      <c r="C565" s="35"/>
      <c r="D565" s="35"/>
      <c r="E565" s="35"/>
      <c r="F565" s="35"/>
      <c r="G565" s="35"/>
      <c r="H565" s="35"/>
      <c r="I565" s="35"/>
      <c r="M565" s="39"/>
      <c r="N565" s="39"/>
      <c r="O565" s="39"/>
      <c r="P565" s="39"/>
      <c r="Q565" s="39"/>
      <c r="R565" s="39"/>
      <c r="S565" s="39"/>
      <c r="T565" s="39"/>
      <c r="U565" s="39"/>
      <c r="V565" s="39"/>
      <c r="W565" s="39"/>
      <c r="X565" s="39"/>
      <c r="Y565" s="39"/>
      <c r="Z565" s="39"/>
    </row>
    <row r="566" spans="1:26" ht="16" x14ac:dyDescent="0.2">
      <c r="A566" s="42" t="s">
        <v>0</v>
      </c>
      <c r="B566" s="41" t="s">
        <v>1898</v>
      </c>
      <c r="C566" s="41"/>
      <c r="D566" s="41"/>
      <c r="E566" s="41"/>
      <c r="F566" s="41"/>
      <c r="G566" s="41"/>
      <c r="H566" s="41"/>
      <c r="I566" s="40" t="s">
        <v>2154</v>
      </c>
      <c r="J566" s="28">
        <f>IF(ISNUMBER(SEARCH("x",I566)),1,0)</f>
        <v>1</v>
      </c>
      <c r="K566" s="19">
        <f>SUM(J566:J569)</f>
        <v>1</v>
      </c>
      <c r="M566" s="39"/>
      <c r="N566" s="39"/>
      <c r="O566" s="39"/>
      <c r="P566" s="39"/>
      <c r="Q566" s="39"/>
      <c r="R566" s="39"/>
      <c r="S566" s="39"/>
      <c r="T566" s="39"/>
      <c r="U566" s="39"/>
      <c r="V566" s="39"/>
      <c r="W566" s="39"/>
      <c r="X566" s="39"/>
      <c r="Y566" s="39"/>
      <c r="Z566" s="39"/>
    </row>
    <row r="567" spans="1:26" ht="16" x14ac:dyDescent="0.2">
      <c r="A567" s="34" t="s">
        <v>1</v>
      </c>
      <c r="B567" s="33" t="s">
        <v>1137</v>
      </c>
      <c r="C567" s="33"/>
      <c r="D567" s="33"/>
      <c r="E567" s="33"/>
      <c r="F567" s="33"/>
      <c r="G567" s="33"/>
      <c r="H567" s="33"/>
      <c r="J567" s="38">
        <v>0</v>
      </c>
      <c r="K567" s="19"/>
      <c r="M567" s="39"/>
      <c r="N567" s="39"/>
      <c r="O567" s="39"/>
      <c r="P567" s="39"/>
      <c r="Q567" s="39"/>
      <c r="R567" s="39"/>
      <c r="S567" s="39"/>
      <c r="T567" s="39"/>
      <c r="U567" s="39"/>
      <c r="V567" s="39"/>
      <c r="W567" s="39"/>
      <c r="X567" s="39"/>
      <c r="Y567" s="39"/>
      <c r="Z567" s="39"/>
    </row>
    <row r="568" spans="1:26" ht="16" x14ac:dyDescent="0.2">
      <c r="A568" s="34" t="s">
        <v>2</v>
      </c>
      <c r="B568" s="33" t="s">
        <v>4</v>
      </c>
      <c r="C568" s="33"/>
      <c r="D568" s="33"/>
      <c r="E568" s="33"/>
      <c r="F568" s="33"/>
      <c r="G568" s="33"/>
      <c r="H568" s="33"/>
      <c r="J568" s="38">
        <v>0</v>
      </c>
      <c r="K568" s="19"/>
      <c r="M568" s="39"/>
      <c r="N568" s="39"/>
      <c r="O568" s="39"/>
      <c r="P568" s="39"/>
      <c r="Q568" s="39"/>
      <c r="R568" s="39"/>
      <c r="S568" s="39"/>
      <c r="T568" s="39"/>
      <c r="U568" s="39"/>
      <c r="V568" s="39"/>
      <c r="W568" s="39"/>
      <c r="X568" s="39"/>
      <c r="Y568" s="39"/>
      <c r="Z568" s="39"/>
    </row>
    <row r="569" spans="1:26" ht="16" x14ac:dyDescent="0.2">
      <c r="A569" s="34" t="s">
        <v>3</v>
      </c>
      <c r="B569" s="33" t="s">
        <v>1888</v>
      </c>
      <c r="C569" s="33"/>
      <c r="D569" s="33"/>
      <c r="E569" s="33"/>
      <c r="F569" s="33"/>
      <c r="G569" s="33"/>
      <c r="H569" s="33"/>
      <c r="J569" s="38">
        <v>0</v>
      </c>
      <c r="K569" s="19"/>
      <c r="M569" s="39"/>
      <c r="N569" s="39"/>
      <c r="O569" s="39"/>
      <c r="P569" s="39"/>
      <c r="Q569" s="39"/>
      <c r="R569" s="39"/>
      <c r="S569" s="39"/>
      <c r="T569" s="39"/>
      <c r="U569" s="39"/>
      <c r="V569" s="39"/>
      <c r="W569" s="39"/>
      <c r="X569" s="39"/>
      <c r="Y569" s="39"/>
      <c r="Z569" s="39"/>
    </row>
    <row r="570" spans="1:26" s="27" customFormat="1" x14ac:dyDescent="0.2"/>
    <row r="571" spans="1:26" x14ac:dyDescent="0.2">
      <c r="A571" s="37" t="s">
        <v>1897</v>
      </c>
      <c r="B571" s="37"/>
      <c r="C571" s="37"/>
      <c r="D571" s="37"/>
      <c r="E571" s="37"/>
      <c r="F571" s="37"/>
      <c r="G571" s="37"/>
      <c r="H571" s="37"/>
      <c r="I571" s="36" t="s">
        <v>1858</v>
      </c>
      <c r="M571" s="43" t="s">
        <v>2163</v>
      </c>
      <c r="N571" s="43"/>
      <c r="O571" s="43"/>
      <c r="P571" s="43"/>
      <c r="Q571" s="43"/>
      <c r="R571" s="43"/>
      <c r="S571" s="43"/>
      <c r="T571" s="43"/>
      <c r="U571" s="43"/>
      <c r="V571" s="43"/>
      <c r="W571" s="43"/>
      <c r="X571" s="43"/>
      <c r="Y571" s="43"/>
      <c r="Z571" s="43"/>
    </row>
    <row r="572" spans="1:26" x14ac:dyDescent="0.2">
      <c r="A572" s="35" t="s">
        <v>1896</v>
      </c>
      <c r="B572" s="35"/>
      <c r="C572" s="35"/>
      <c r="D572" s="35"/>
      <c r="E572" s="35"/>
      <c r="F572" s="35"/>
      <c r="G572" s="35"/>
      <c r="H572" s="35"/>
      <c r="I572" s="35"/>
      <c r="M572" s="43"/>
      <c r="N572" s="43"/>
      <c r="O572" s="43"/>
      <c r="P572" s="43"/>
      <c r="Q572" s="43"/>
      <c r="R572" s="43"/>
      <c r="S572" s="43"/>
      <c r="T572" s="43"/>
      <c r="U572" s="43"/>
      <c r="V572" s="43"/>
      <c r="W572" s="43"/>
      <c r="X572" s="43"/>
      <c r="Y572" s="43"/>
      <c r="Z572" s="43"/>
    </row>
    <row r="573" spans="1:26" x14ac:dyDescent="0.2">
      <c r="A573" s="35"/>
      <c r="B573" s="35"/>
      <c r="C573" s="35"/>
      <c r="D573" s="35"/>
      <c r="E573" s="35"/>
      <c r="F573" s="35"/>
      <c r="G573" s="35"/>
      <c r="H573" s="35"/>
      <c r="I573" s="35"/>
      <c r="M573" s="43"/>
      <c r="N573" s="43"/>
      <c r="O573" s="43"/>
      <c r="P573" s="43"/>
      <c r="Q573" s="43"/>
      <c r="R573" s="43"/>
      <c r="S573" s="43"/>
      <c r="T573" s="43"/>
      <c r="U573" s="43"/>
      <c r="V573" s="43"/>
      <c r="W573" s="43"/>
      <c r="X573" s="43"/>
      <c r="Y573" s="43"/>
      <c r="Z573" s="43"/>
    </row>
    <row r="574" spans="1:26" x14ac:dyDescent="0.2">
      <c r="A574" s="35"/>
      <c r="B574" s="35"/>
      <c r="C574" s="35"/>
      <c r="D574" s="35"/>
      <c r="E574" s="35"/>
      <c r="F574" s="35"/>
      <c r="G574" s="35"/>
      <c r="H574" s="35"/>
      <c r="I574" s="35"/>
      <c r="M574" s="43"/>
      <c r="N574" s="43"/>
      <c r="O574" s="43"/>
      <c r="P574" s="43"/>
      <c r="Q574" s="43"/>
      <c r="R574" s="43"/>
      <c r="S574" s="43"/>
      <c r="T574" s="43"/>
      <c r="U574" s="43"/>
      <c r="V574" s="43"/>
      <c r="W574" s="43"/>
      <c r="X574" s="43"/>
      <c r="Y574" s="43"/>
      <c r="Z574" s="43"/>
    </row>
    <row r="575" spans="1:26" ht="65.5" customHeight="1" x14ac:dyDescent="0.2">
      <c r="A575" s="35"/>
      <c r="B575" s="35"/>
      <c r="C575" s="35"/>
      <c r="D575" s="35"/>
      <c r="E575" s="35"/>
      <c r="F575" s="35"/>
      <c r="G575" s="35"/>
      <c r="H575" s="35"/>
      <c r="I575" s="35"/>
      <c r="M575" s="43"/>
      <c r="N575" s="43"/>
      <c r="O575" s="43"/>
      <c r="P575" s="43"/>
      <c r="Q575" s="43"/>
      <c r="R575" s="43"/>
      <c r="S575" s="43"/>
      <c r="T575" s="43"/>
      <c r="U575" s="43"/>
      <c r="V575" s="43"/>
      <c r="W575" s="43"/>
      <c r="X575" s="43"/>
      <c r="Y575" s="43"/>
      <c r="Z575" s="43"/>
    </row>
    <row r="576" spans="1:26" ht="28.75" customHeight="1" x14ac:dyDescent="0.2">
      <c r="A576" s="42" t="s">
        <v>0</v>
      </c>
      <c r="B576" s="41" t="s">
        <v>1895</v>
      </c>
      <c r="C576" s="41"/>
      <c r="D576" s="41"/>
      <c r="E576" s="41"/>
      <c r="F576" s="41"/>
      <c r="G576" s="41"/>
      <c r="H576" s="41"/>
      <c r="I576" s="40" t="s">
        <v>2154</v>
      </c>
      <c r="J576" s="28">
        <f>IF(ISNUMBER(SEARCH("x",I576)),0.5,0)</f>
        <v>0.5</v>
      </c>
      <c r="K576" s="19">
        <f>MAX(SUM(J576:J580),0)</f>
        <v>1</v>
      </c>
      <c r="M576" s="43"/>
      <c r="N576" s="43"/>
      <c r="O576" s="43"/>
      <c r="P576" s="43"/>
      <c r="Q576" s="43"/>
      <c r="R576" s="43"/>
      <c r="S576" s="43"/>
      <c r="T576" s="43"/>
      <c r="U576" s="43"/>
      <c r="V576" s="43"/>
      <c r="W576" s="43"/>
      <c r="X576" s="43"/>
      <c r="Y576" s="43"/>
      <c r="Z576" s="43"/>
    </row>
    <row r="577" spans="1:26" ht="16" x14ac:dyDescent="0.2">
      <c r="A577" s="42" t="s">
        <v>1</v>
      </c>
      <c r="B577" s="41" t="s">
        <v>1894</v>
      </c>
      <c r="C577" s="41"/>
      <c r="D577" s="41"/>
      <c r="E577" s="41"/>
      <c r="F577" s="41"/>
      <c r="G577" s="41"/>
      <c r="H577" s="41"/>
      <c r="I577" s="40" t="s">
        <v>2154</v>
      </c>
      <c r="J577" s="28">
        <f>IF(ISNUMBER(SEARCH("x",I577)),0.5,0)</f>
        <v>0.5</v>
      </c>
      <c r="K577" s="19"/>
      <c r="M577" s="43"/>
      <c r="N577" s="43"/>
      <c r="O577" s="43"/>
      <c r="P577" s="43"/>
      <c r="Q577" s="43"/>
      <c r="R577" s="43"/>
      <c r="S577" s="43"/>
      <c r="T577" s="43"/>
      <c r="U577" s="43"/>
      <c r="V577" s="43"/>
      <c r="W577" s="43"/>
      <c r="X577" s="43"/>
      <c r="Y577" s="43"/>
      <c r="Z577" s="43"/>
    </row>
    <row r="578" spans="1:26" ht="16" x14ac:dyDescent="0.2">
      <c r="A578" s="34" t="s">
        <v>2</v>
      </c>
      <c r="B578" s="33" t="s">
        <v>1893</v>
      </c>
      <c r="C578" s="33"/>
      <c r="D578" s="33"/>
      <c r="E578" s="33"/>
      <c r="F578" s="33"/>
      <c r="G578" s="33"/>
      <c r="H578" s="33"/>
      <c r="J578" s="28">
        <f>IF(ISNUMBER(SEARCH("x",I578)),-0.5,0)</f>
        <v>0</v>
      </c>
      <c r="K578" s="19"/>
      <c r="M578" s="43"/>
      <c r="N578" s="43"/>
      <c r="O578" s="43"/>
      <c r="P578" s="43"/>
      <c r="Q578" s="43"/>
      <c r="R578" s="43"/>
      <c r="S578" s="43"/>
      <c r="T578" s="43"/>
      <c r="U578" s="43"/>
      <c r="V578" s="43"/>
      <c r="W578" s="43"/>
      <c r="X578" s="43"/>
      <c r="Y578" s="43"/>
      <c r="Z578" s="43"/>
    </row>
    <row r="579" spans="1:26" ht="16" x14ac:dyDescent="0.2">
      <c r="A579" s="34" t="s">
        <v>3</v>
      </c>
      <c r="B579" s="33" t="s">
        <v>1892</v>
      </c>
      <c r="C579" s="33"/>
      <c r="D579" s="33"/>
      <c r="E579" s="33"/>
      <c r="F579" s="33"/>
      <c r="G579" s="33"/>
      <c r="H579" s="33"/>
      <c r="J579" s="28">
        <f>IF(ISNUMBER(SEARCH("x",I579)),-0.5,0)</f>
        <v>0</v>
      </c>
      <c r="K579" s="19"/>
      <c r="M579" s="43"/>
      <c r="N579" s="43"/>
      <c r="O579" s="43"/>
      <c r="P579" s="43"/>
      <c r="Q579" s="43"/>
      <c r="R579" s="43"/>
      <c r="S579" s="43"/>
      <c r="T579" s="43"/>
      <c r="U579" s="43"/>
      <c r="V579" s="43"/>
      <c r="W579" s="43"/>
      <c r="X579" s="43"/>
      <c r="Y579" s="43"/>
      <c r="Z579" s="43"/>
    </row>
    <row r="580" spans="1:26" ht="16" x14ac:dyDescent="0.2">
      <c r="A580" s="34" t="s">
        <v>6</v>
      </c>
      <c r="B580" s="33" t="s">
        <v>1891</v>
      </c>
      <c r="C580" s="33"/>
      <c r="D580" s="33"/>
      <c r="E580" s="33"/>
      <c r="F580" s="33"/>
      <c r="G580" s="33"/>
      <c r="H580" s="33"/>
      <c r="J580" s="28">
        <f>IF(ISNUMBER(SEARCH("x",I580)),-0.5,0)</f>
        <v>0</v>
      </c>
      <c r="K580" s="19"/>
      <c r="M580" s="43"/>
      <c r="N580" s="43"/>
      <c r="O580" s="43"/>
      <c r="P580" s="43"/>
      <c r="Q580" s="43"/>
      <c r="R580" s="43"/>
      <c r="S580" s="43"/>
      <c r="T580" s="43"/>
      <c r="U580" s="43"/>
      <c r="V580" s="43"/>
      <c r="W580" s="43"/>
      <c r="X580" s="43"/>
      <c r="Y580" s="43"/>
      <c r="Z580" s="43"/>
    </row>
    <row r="581" spans="1:26" s="27" customFormat="1" x14ac:dyDescent="0.2"/>
    <row r="582" spans="1:26" x14ac:dyDescent="0.2">
      <c r="A582" s="37" t="s">
        <v>1890</v>
      </c>
      <c r="B582" s="37"/>
      <c r="C582" s="37"/>
      <c r="D582" s="37"/>
      <c r="E582" s="37"/>
      <c r="F582" s="37"/>
      <c r="G582" s="37"/>
      <c r="H582" s="37"/>
      <c r="I582" s="36" t="s">
        <v>1858</v>
      </c>
      <c r="M582" s="43" t="s">
        <v>2162</v>
      </c>
      <c r="N582" s="39"/>
      <c r="O582" s="39"/>
      <c r="P582" s="39"/>
      <c r="Q582" s="39"/>
      <c r="R582" s="39"/>
      <c r="S582" s="39"/>
      <c r="T582" s="39"/>
      <c r="U582" s="39"/>
      <c r="V582" s="39"/>
      <c r="W582" s="39"/>
      <c r="X582" s="39"/>
      <c r="Y582" s="39"/>
      <c r="Z582" s="39"/>
    </row>
    <row r="583" spans="1:26" x14ac:dyDescent="0.2">
      <c r="A583" s="35" t="s">
        <v>1889</v>
      </c>
      <c r="B583" s="35"/>
      <c r="C583" s="35"/>
      <c r="D583" s="35"/>
      <c r="E583" s="35"/>
      <c r="F583" s="35"/>
      <c r="G583" s="35"/>
      <c r="H583" s="35"/>
      <c r="I583" s="35"/>
      <c r="M583" s="39"/>
      <c r="N583" s="39"/>
      <c r="O583" s="39"/>
      <c r="P583" s="39"/>
      <c r="Q583" s="39"/>
      <c r="R583" s="39"/>
      <c r="S583" s="39"/>
      <c r="T583" s="39"/>
      <c r="U583" s="39"/>
      <c r="V583" s="39"/>
      <c r="W583" s="39"/>
      <c r="X583" s="39"/>
      <c r="Y583" s="39"/>
      <c r="Z583" s="39"/>
    </row>
    <row r="584" spans="1:26" x14ac:dyDescent="0.2">
      <c r="A584" s="35"/>
      <c r="B584" s="35"/>
      <c r="C584" s="35"/>
      <c r="D584" s="35"/>
      <c r="E584" s="35"/>
      <c r="F584" s="35"/>
      <c r="G584" s="35"/>
      <c r="H584" s="35"/>
      <c r="I584" s="35"/>
      <c r="M584" s="39"/>
      <c r="N584" s="39"/>
      <c r="O584" s="39"/>
      <c r="P584" s="39"/>
      <c r="Q584" s="39"/>
      <c r="R584" s="39"/>
      <c r="S584" s="39"/>
      <c r="T584" s="39"/>
      <c r="U584" s="39"/>
      <c r="V584" s="39"/>
      <c r="W584" s="39"/>
      <c r="X584" s="39"/>
      <c r="Y584" s="39"/>
      <c r="Z584" s="39"/>
    </row>
    <row r="585" spans="1:26" x14ac:dyDescent="0.2">
      <c r="A585" s="35"/>
      <c r="B585" s="35"/>
      <c r="C585" s="35"/>
      <c r="D585" s="35"/>
      <c r="E585" s="35"/>
      <c r="F585" s="35"/>
      <c r="G585" s="35"/>
      <c r="H585" s="35"/>
      <c r="I585" s="35"/>
      <c r="M585" s="39"/>
      <c r="N585" s="39"/>
      <c r="O585" s="39"/>
      <c r="P585" s="39"/>
      <c r="Q585" s="39"/>
      <c r="R585" s="39"/>
      <c r="S585" s="39"/>
      <c r="T585" s="39"/>
      <c r="U585" s="39"/>
      <c r="V585" s="39"/>
      <c r="W585" s="39"/>
      <c r="X585" s="39"/>
      <c r="Y585" s="39"/>
      <c r="Z585" s="39"/>
    </row>
    <row r="586" spans="1:26" x14ac:dyDescent="0.2">
      <c r="A586" s="35"/>
      <c r="B586" s="35"/>
      <c r="C586" s="35"/>
      <c r="D586" s="35"/>
      <c r="E586" s="35"/>
      <c r="F586" s="35"/>
      <c r="G586" s="35"/>
      <c r="H586" s="35"/>
      <c r="I586" s="35"/>
      <c r="M586" s="39"/>
      <c r="N586" s="39"/>
      <c r="O586" s="39"/>
      <c r="P586" s="39"/>
      <c r="Q586" s="39"/>
      <c r="R586" s="39"/>
      <c r="S586" s="39"/>
      <c r="T586" s="39"/>
      <c r="U586" s="39"/>
      <c r="V586" s="39"/>
      <c r="W586" s="39"/>
      <c r="X586" s="39"/>
      <c r="Y586" s="39"/>
      <c r="Z586" s="39"/>
    </row>
    <row r="587" spans="1:26" ht="16" x14ac:dyDescent="0.2">
      <c r="A587" s="34" t="s">
        <v>0</v>
      </c>
      <c r="B587" s="33" t="s">
        <v>1094</v>
      </c>
      <c r="C587" s="33"/>
      <c r="D587" s="33"/>
      <c r="E587" s="33"/>
      <c r="F587" s="33"/>
      <c r="G587" s="33"/>
      <c r="H587" s="33"/>
      <c r="J587" s="28">
        <v>0</v>
      </c>
      <c r="K587" s="19">
        <f>SUM(J587:J590)</f>
        <v>1</v>
      </c>
      <c r="M587" s="39"/>
      <c r="N587" s="39"/>
      <c r="O587" s="39"/>
      <c r="P587" s="39"/>
      <c r="Q587" s="39"/>
      <c r="R587" s="39"/>
      <c r="S587" s="39"/>
      <c r="T587" s="39"/>
      <c r="U587" s="39"/>
      <c r="V587" s="39"/>
      <c r="W587" s="39"/>
      <c r="X587" s="39"/>
      <c r="Y587" s="39"/>
      <c r="Z587" s="39"/>
    </row>
    <row r="588" spans="1:26" ht="16" x14ac:dyDescent="0.2">
      <c r="A588" s="34" t="s">
        <v>1</v>
      </c>
      <c r="B588" s="33" t="s">
        <v>1139</v>
      </c>
      <c r="C588" s="33"/>
      <c r="D588" s="33"/>
      <c r="E588" s="33"/>
      <c r="F588" s="33"/>
      <c r="G588" s="33"/>
      <c r="H588" s="33"/>
      <c r="J588" s="28">
        <v>0</v>
      </c>
      <c r="K588" s="19"/>
      <c r="M588" s="39"/>
      <c r="N588" s="39"/>
      <c r="O588" s="39"/>
      <c r="P588" s="39"/>
      <c r="Q588" s="39"/>
      <c r="R588" s="39"/>
      <c r="S588" s="39"/>
      <c r="T588" s="39"/>
      <c r="U588" s="39"/>
      <c r="V588" s="39"/>
      <c r="W588" s="39"/>
      <c r="X588" s="39"/>
      <c r="Y588" s="39"/>
      <c r="Z588" s="39"/>
    </row>
    <row r="589" spans="1:26" ht="16" x14ac:dyDescent="0.2">
      <c r="A589" s="34" t="s">
        <v>2</v>
      </c>
      <c r="B589" s="33" t="s">
        <v>1888</v>
      </c>
      <c r="C589" s="33"/>
      <c r="D589" s="33"/>
      <c r="E589" s="33"/>
      <c r="F589" s="33"/>
      <c r="G589" s="33"/>
      <c r="H589" s="33"/>
      <c r="J589" s="28">
        <v>0</v>
      </c>
      <c r="K589" s="19"/>
      <c r="M589" s="39"/>
      <c r="N589" s="39"/>
      <c r="O589" s="39"/>
      <c r="P589" s="39"/>
      <c r="Q589" s="39"/>
      <c r="R589" s="39"/>
      <c r="S589" s="39"/>
      <c r="T589" s="39"/>
      <c r="U589" s="39"/>
      <c r="V589" s="39"/>
      <c r="W589" s="39"/>
      <c r="X589" s="39"/>
      <c r="Y589" s="39"/>
      <c r="Z589" s="39"/>
    </row>
    <row r="590" spans="1:26" ht="16" x14ac:dyDescent="0.2">
      <c r="A590" s="42" t="s">
        <v>3</v>
      </c>
      <c r="B590" s="41" t="s">
        <v>1137</v>
      </c>
      <c r="C590" s="41"/>
      <c r="D590" s="41"/>
      <c r="E590" s="41"/>
      <c r="F590" s="41"/>
      <c r="G590" s="41"/>
      <c r="H590" s="41"/>
      <c r="I590" s="40" t="s">
        <v>2154</v>
      </c>
      <c r="J590" s="28">
        <f>IF(ISNUMBER(SEARCH("x",I590)),1,0)</f>
        <v>1</v>
      </c>
      <c r="K590" s="19"/>
      <c r="M590" s="39"/>
      <c r="N590" s="39"/>
      <c r="O590" s="39"/>
      <c r="P590" s="39"/>
      <c r="Q590" s="39"/>
      <c r="R590" s="39"/>
      <c r="S590" s="39"/>
      <c r="T590" s="39"/>
      <c r="U590" s="39"/>
      <c r="V590" s="39"/>
      <c r="W590" s="39"/>
      <c r="X590" s="39"/>
      <c r="Y590" s="39"/>
      <c r="Z590" s="39"/>
    </row>
    <row r="591" spans="1:26" s="27" customFormat="1" x14ac:dyDescent="0.2"/>
    <row r="592" spans="1:26" x14ac:dyDescent="0.2">
      <c r="A592" s="37" t="s">
        <v>1887</v>
      </c>
      <c r="B592" s="37"/>
      <c r="C592" s="37"/>
      <c r="D592" s="37"/>
      <c r="E592" s="37"/>
      <c r="F592" s="37"/>
      <c r="G592" s="37"/>
      <c r="H592" s="37"/>
      <c r="I592" s="36" t="s">
        <v>1858</v>
      </c>
      <c r="M592" s="43" t="s">
        <v>2161</v>
      </c>
      <c r="N592" s="39"/>
      <c r="O592" s="39"/>
      <c r="P592" s="39"/>
      <c r="Q592" s="39"/>
      <c r="R592" s="39"/>
      <c r="S592" s="39"/>
      <c r="T592" s="39"/>
      <c r="U592" s="39"/>
      <c r="V592" s="39"/>
      <c r="W592" s="39"/>
      <c r="X592" s="39"/>
      <c r="Y592" s="39"/>
      <c r="Z592" s="39"/>
    </row>
    <row r="593" spans="1:26" x14ac:dyDescent="0.2">
      <c r="A593" s="35" t="s">
        <v>1886</v>
      </c>
      <c r="B593" s="35"/>
      <c r="C593" s="35"/>
      <c r="D593" s="35"/>
      <c r="E593" s="35"/>
      <c r="F593" s="35"/>
      <c r="G593" s="35"/>
      <c r="H593" s="35"/>
      <c r="I593" s="35"/>
      <c r="M593" s="39"/>
      <c r="N593" s="39"/>
      <c r="O593" s="39"/>
      <c r="P593" s="39"/>
      <c r="Q593" s="39"/>
      <c r="R593" s="39"/>
      <c r="S593" s="39"/>
      <c r="T593" s="39"/>
      <c r="U593" s="39"/>
      <c r="V593" s="39"/>
      <c r="W593" s="39"/>
      <c r="X593" s="39"/>
      <c r="Y593" s="39"/>
      <c r="Z593" s="39"/>
    </row>
    <row r="594" spans="1:26" x14ac:dyDescent="0.2">
      <c r="A594" s="35"/>
      <c r="B594" s="35"/>
      <c r="C594" s="35"/>
      <c r="D594" s="35"/>
      <c r="E594" s="35"/>
      <c r="F594" s="35"/>
      <c r="G594" s="35"/>
      <c r="H594" s="35"/>
      <c r="I594" s="35"/>
      <c r="M594" s="39"/>
      <c r="N594" s="39"/>
      <c r="O594" s="39"/>
      <c r="P594" s="39"/>
      <c r="Q594" s="39"/>
      <c r="R594" s="39"/>
      <c r="S594" s="39"/>
      <c r="T594" s="39"/>
      <c r="U594" s="39"/>
      <c r="V594" s="39"/>
      <c r="W594" s="39"/>
      <c r="X594" s="39"/>
      <c r="Y594" s="39"/>
      <c r="Z594" s="39"/>
    </row>
    <row r="595" spans="1:26" x14ac:dyDescent="0.2">
      <c r="A595" s="35"/>
      <c r="B595" s="35"/>
      <c r="C595" s="35"/>
      <c r="D595" s="35"/>
      <c r="E595" s="35"/>
      <c r="F595" s="35"/>
      <c r="G595" s="35"/>
      <c r="H595" s="35"/>
      <c r="I595" s="35"/>
      <c r="M595" s="39"/>
      <c r="N595" s="39"/>
      <c r="O595" s="39"/>
      <c r="P595" s="39"/>
      <c r="Q595" s="39"/>
      <c r="R595" s="39"/>
      <c r="S595" s="39"/>
      <c r="T595" s="39"/>
      <c r="U595" s="39"/>
      <c r="V595" s="39"/>
      <c r="W595" s="39"/>
      <c r="X595" s="39"/>
      <c r="Y595" s="39"/>
      <c r="Z595" s="39"/>
    </row>
    <row r="596" spans="1:26" ht="249.5" customHeight="1" x14ac:dyDescent="0.2">
      <c r="A596" s="35"/>
      <c r="B596" s="35"/>
      <c r="C596" s="35"/>
      <c r="D596" s="35"/>
      <c r="E596" s="35"/>
      <c r="F596" s="35"/>
      <c r="G596" s="35"/>
      <c r="H596" s="35"/>
      <c r="I596" s="35"/>
      <c r="M596" s="39"/>
      <c r="N596" s="39"/>
      <c r="O596" s="39"/>
      <c r="P596" s="39"/>
      <c r="Q596" s="39"/>
      <c r="R596" s="39"/>
      <c r="S596" s="39"/>
      <c r="T596" s="39"/>
      <c r="U596" s="39"/>
      <c r="V596" s="39"/>
      <c r="W596" s="39"/>
      <c r="X596" s="39"/>
      <c r="Y596" s="39"/>
      <c r="Z596" s="39"/>
    </row>
    <row r="597" spans="1:26" ht="16" x14ac:dyDescent="0.2">
      <c r="A597" s="34" t="s">
        <v>0</v>
      </c>
      <c r="B597" s="33" t="s">
        <v>1885</v>
      </c>
      <c r="C597" s="33"/>
      <c r="D597" s="33"/>
      <c r="E597" s="33"/>
      <c r="F597" s="33"/>
      <c r="G597" s="33"/>
      <c r="H597" s="33"/>
      <c r="J597" s="28">
        <v>0</v>
      </c>
      <c r="K597" s="19">
        <f>SUM(J597:J600)</f>
        <v>1</v>
      </c>
      <c r="M597" s="39"/>
      <c r="N597" s="39"/>
      <c r="O597" s="39"/>
      <c r="P597" s="39"/>
      <c r="Q597" s="39"/>
      <c r="R597" s="39"/>
      <c r="S597" s="39"/>
      <c r="T597" s="39"/>
      <c r="U597" s="39"/>
      <c r="V597" s="39"/>
      <c r="W597" s="39"/>
      <c r="X597" s="39"/>
      <c r="Y597" s="39"/>
      <c r="Z597" s="39"/>
    </row>
    <row r="598" spans="1:26" ht="16" x14ac:dyDescent="0.2">
      <c r="A598" s="42" t="s">
        <v>1</v>
      </c>
      <c r="B598" s="41" t="s">
        <v>19</v>
      </c>
      <c r="C598" s="41"/>
      <c r="D598" s="41"/>
      <c r="E598" s="41"/>
      <c r="F598" s="41"/>
      <c r="G598" s="41"/>
      <c r="H598" s="41"/>
      <c r="I598" s="40" t="s">
        <v>2154</v>
      </c>
      <c r="J598" s="28">
        <f>IF(ISNUMBER(SEARCH("x",I598)),1,0)</f>
        <v>1</v>
      </c>
      <c r="K598" s="19"/>
      <c r="M598" s="39"/>
      <c r="N598" s="39"/>
      <c r="O598" s="39"/>
      <c r="P598" s="39"/>
      <c r="Q598" s="39"/>
      <c r="R598" s="39"/>
      <c r="S598" s="39"/>
      <c r="T598" s="39"/>
      <c r="U598" s="39"/>
      <c r="V598" s="39"/>
      <c r="W598" s="39"/>
      <c r="X598" s="39"/>
      <c r="Y598" s="39"/>
      <c r="Z598" s="39"/>
    </row>
    <row r="599" spans="1:26" ht="16" x14ac:dyDescent="0.2">
      <c r="A599" s="34" t="s">
        <v>2</v>
      </c>
      <c r="B599" s="33" t="s">
        <v>1823</v>
      </c>
      <c r="C599" s="33"/>
      <c r="D599" s="33"/>
      <c r="E599" s="33"/>
      <c r="F599" s="33"/>
      <c r="G599" s="33"/>
      <c r="H599" s="33"/>
      <c r="J599" s="38">
        <v>0</v>
      </c>
      <c r="K599" s="19"/>
      <c r="M599" s="39"/>
      <c r="N599" s="39"/>
      <c r="O599" s="39"/>
      <c r="P599" s="39"/>
      <c r="Q599" s="39"/>
      <c r="R599" s="39"/>
      <c r="S599" s="39"/>
      <c r="T599" s="39"/>
      <c r="U599" s="39"/>
      <c r="V599" s="39"/>
      <c r="W599" s="39"/>
      <c r="X599" s="39"/>
      <c r="Y599" s="39"/>
      <c r="Z599" s="39"/>
    </row>
    <row r="600" spans="1:26" ht="16" x14ac:dyDescent="0.2">
      <c r="A600" s="34" t="s">
        <v>3</v>
      </c>
      <c r="B600" s="33" t="s">
        <v>20</v>
      </c>
      <c r="C600" s="33"/>
      <c r="D600" s="33"/>
      <c r="E600" s="33"/>
      <c r="F600" s="33"/>
      <c r="G600" s="33"/>
      <c r="H600" s="33"/>
      <c r="J600" s="28">
        <v>0</v>
      </c>
      <c r="K600" s="19"/>
      <c r="M600" s="39"/>
      <c r="N600" s="39"/>
      <c r="O600" s="39"/>
      <c r="P600" s="39"/>
      <c r="Q600" s="39"/>
      <c r="R600" s="39"/>
      <c r="S600" s="39"/>
      <c r="T600" s="39"/>
      <c r="U600" s="39"/>
      <c r="V600" s="39"/>
      <c r="W600" s="39"/>
      <c r="X600" s="39"/>
      <c r="Y600" s="39"/>
      <c r="Z600" s="39"/>
    </row>
    <row r="601" spans="1:26" s="27" customFormat="1" x14ac:dyDescent="0.2"/>
    <row r="602" spans="1:26" x14ac:dyDescent="0.2">
      <c r="A602" s="37" t="s">
        <v>1884</v>
      </c>
      <c r="B602" s="37"/>
      <c r="C602" s="37"/>
      <c r="D602" s="37"/>
      <c r="E602" s="37"/>
      <c r="F602" s="37"/>
      <c r="G602" s="37"/>
      <c r="H602" s="37"/>
      <c r="I602" s="36" t="s">
        <v>1858</v>
      </c>
      <c r="M602" s="43" t="s">
        <v>2160</v>
      </c>
      <c r="N602" s="39"/>
      <c r="O602" s="39"/>
      <c r="P602" s="39"/>
      <c r="Q602" s="39"/>
      <c r="R602" s="39"/>
      <c r="S602" s="39"/>
      <c r="T602" s="39"/>
      <c r="U602" s="39"/>
      <c r="V602" s="39"/>
      <c r="W602" s="39"/>
      <c r="X602" s="39"/>
      <c r="Y602" s="39"/>
      <c r="Z602" s="39"/>
    </row>
    <row r="603" spans="1:26" x14ac:dyDescent="0.2">
      <c r="A603" s="35" t="s">
        <v>1883</v>
      </c>
      <c r="B603" s="35"/>
      <c r="C603" s="35"/>
      <c r="D603" s="35"/>
      <c r="E603" s="35"/>
      <c r="F603" s="35"/>
      <c r="G603" s="35"/>
      <c r="H603" s="35"/>
      <c r="I603" s="35"/>
      <c r="M603" s="39"/>
      <c r="N603" s="39"/>
      <c r="O603" s="39"/>
      <c r="P603" s="39"/>
      <c r="Q603" s="39"/>
      <c r="R603" s="39"/>
      <c r="S603" s="39"/>
      <c r="T603" s="39"/>
      <c r="U603" s="39"/>
      <c r="V603" s="39"/>
      <c r="W603" s="39"/>
      <c r="X603" s="39"/>
      <c r="Y603" s="39"/>
      <c r="Z603" s="39"/>
    </row>
    <row r="604" spans="1:26" x14ac:dyDescent="0.2">
      <c r="A604" s="35"/>
      <c r="B604" s="35"/>
      <c r="C604" s="35"/>
      <c r="D604" s="35"/>
      <c r="E604" s="35"/>
      <c r="F604" s="35"/>
      <c r="G604" s="35"/>
      <c r="H604" s="35"/>
      <c r="I604" s="35"/>
      <c r="M604" s="39"/>
      <c r="N604" s="39"/>
      <c r="O604" s="39"/>
      <c r="P604" s="39"/>
      <c r="Q604" s="39"/>
      <c r="R604" s="39"/>
      <c r="S604" s="39"/>
      <c r="T604" s="39"/>
      <c r="U604" s="39"/>
      <c r="V604" s="39"/>
      <c r="W604" s="39"/>
      <c r="X604" s="39"/>
      <c r="Y604" s="39"/>
      <c r="Z604" s="39"/>
    </row>
    <row r="605" spans="1:26" x14ac:dyDescent="0.2">
      <c r="A605" s="35"/>
      <c r="B605" s="35"/>
      <c r="C605" s="35"/>
      <c r="D605" s="35"/>
      <c r="E605" s="35"/>
      <c r="F605" s="35"/>
      <c r="G605" s="35"/>
      <c r="H605" s="35"/>
      <c r="I605" s="35"/>
      <c r="M605" s="39"/>
      <c r="N605" s="39"/>
      <c r="O605" s="39"/>
      <c r="P605" s="39"/>
      <c r="Q605" s="39"/>
      <c r="R605" s="39"/>
      <c r="S605" s="39"/>
      <c r="T605" s="39"/>
      <c r="U605" s="39"/>
      <c r="V605" s="39"/>
      <c r="W605" s="39"/>
      <c r="X605" s="39"/>
      <c r="Y605" s="39"/>
      <c r="Z605" s="39"/>
    </row>
    <row r="606" spans="1:26" x14ac:dyDescent="0.2">
      <c r="A606" s="35"/>
      <c r="B606" s="35"/>
      <c r="C606" s="35"/>
      <c r="D606" s="35"/>
      <c r="E606" s="35"/>
      <c r="F606" s="35"/>
      <c r="G606" s="35"/>
      <c r="H606" s="35"/>
      <c r="I606" s="35"/>
      <c r="M606" s="39"/>
      <c r="N606" s="39"/>
      <c r="O606" s="39"/>
      <c r="P606" s="39"/>
      <c r="Q606" s="39"/>
      <c r="R606" s="39"/>
      <c r="S606" s="39"/>
      <c r="T606" s="39"/>
      <c r="U606" s="39"/>
      <c r="V606" s="39"/>
      <c r="W606" s="39"/>
      <c r="X606" s="39"/>
      <c r="Y606" s="39"/>
      <c r="Z606" s="39"/>
    </row>
    <row r="607" spans="1:26" ht="16" x14ac:dyDescent="0.2">
      <c r="A607" s="34" t="s">
        <v>0</v>
      </c>
      <c r="B607" s="33" t="s">
        <v>1882</v>
      </c>
      <c r="C607" s="33"/>
      <c r="D607" s="33"/>
      <c r="E607" s="33"/>
      <c r="F607" s="33"/>
      <c r="G607" s="33"/>
      <c r="H607" s="33"/>
      <c r="J607" s="28">
        <v>0</v>
      </c>
      <c r="K607" s="19">
        <f>SUM(J607:J610)</f>
        <v>1</v>
      </c>
      <c r="M607" s="39"/>
      <c r="N607" s="39"/>
      <c r="O607" s="39"/>
      <c r="P607" s="39"/>
      <c r="Q607" s="39"/>
      <c r="R607" s="39"/>
      <c r="S607" s="39"/>
      <c r="T607" s="39"/>
      <c r="U607" s="39"/>
      <c r="V607" s="39"/>
      <c r="W607" s="39"/>
      <c r="X607" s="39"/>
      <c r="Y607" s="39"/>
      <c r="Z607" s="39"/>
    </row>
    <row r="608" spans="1:26" ht="16" x14ac:dyDescent="0.2">
      <c r="A608" s="34" t="s">
        <v>1</v>
      </c>
      <c r="B608" s="33" t="s">
        <v>1881</v>
      </c>
      <c r="C608" s="33"/>
      <c r="D608" s="33"/>
      <c r="E608" s="33"/>
      <c r="F608" s="33"/>
      <c r="G608" s="33"/>
      <c r="H608" s="33"/>
      <c r="J608" s="28">
        <v>0</v>
      </c>
      <c r="K608" s="19"/>
      <c r="M608" s="39"/>
      <c r="N608" s="39"/>
      <c r="O608" s="39"/>
      <c r="P608" s="39"/>
      <c r="Q608" s="39"/>
      <c r="R608" s="39"/>
      <c r="S608" s="39"/>
      <c r="T608" s="39"/>
      <c r="U608" s="39"/>
      <c r="V608" s="39"/>
      <c r="W608" s="39"/>
      <c r="X608" s="39"/>
      <c r="Y608" s="39"/>
      <c r="Z608" s="39"/>
    </row>
    <row r="609" spans="1:26" ht="16" x14ac:dyDescent="0.2">
      <c r="A609" s="42" t="s">
        <v>2</v>
      </c>
      <c r="B609" s="41" t="s">
        <v>1880</v>
      </c>
      <c r="C609" s="41"/>
      <c r="D609" s="41"/>
      <c r="E609" s="41"/>
      <c r="F609" s="41"/>
      <c r="G609" s="41"/>
      <c r="H609" s="41"/>
      <c r="I609" s="40" t="s">
        <v>2154</v>
      </c>
      <c r="J609" s="28">
        <f>IF(ISNUMBER(SEARCH("x",I609)),1,0)</f>
        <v>1</v>
      </c>
      <c r="K609" s="19"/>
      <c r="M609" s="39"/>
      <c r="N609" s="39"/>
      <c r="O609" s="39"/>
      <c r="P609" s="39"/>
      <c r="Q609" s="39"/>
      <c r="R609" s="39"/>
      <c r="S609" s="39"/>
      <c r="T609" s="39"/>
      <c r="U609" s="39"/>
      <c r="V609" s="39"/>
      <c r="W609" s="39"/>
      <c r="X609" s="39"/>
      <c r="Y609" s="39"/>
      <c r="Z609" s="39"/>
    </row>
    <row r="610" spans="1:26" ht="16" x14ac:dyDescent="0.2">
      <c r="A610" s="34" t="s">
        <v>3</v>
      </c>
      <c r="B610" s="33" t="s">
        <v>1879</v>
      </c>
      <c r="C610" s="33"/>
      <c r="D610" s="33"/>
      <c r="E610" s="33"/>
      <c r="F610" s="33"/>
      <c r="G610" s="33"/>
      <c r="H610" s="33"/>
      <c r="J610" s="28">
        <v>0</v>
      </c>
      <c r="K610" s="19"/>
      <c r="M610" s="39"/>
      <c r="N610" s="39"/>
      <c r="O610" s="39"/>
      <c r="P610" s="39"/>
      <c r="Q610" s="39"/>
      <c r="R610" s="39"/>
      <c r="S610" s="39"/>
      <c r="T610" s="39"/>
      <c r="U610" s="39"/>
      <c r="V610" s="39"/>
      <c r="W610" s="39"/>
      <c r="X610" s="39"/>
      <c r="Y610" s="39"/>
      <c r="Z610" s="39"/>
    </row>
    <row r="611" spans="1:26" s="27" customFormat="1" x14ac:dyDescent="0.2"/>
    <row r="612" spans="1:26" x14ac:dyDescent="0.2">
      <c r="A612" s="37" t="s">
        <v>1878</v>
      </c>
      <c r="B612" s="37"/>
      <c r="C612" s="37"/>
      <c r="D612" s="37"/>
      <c r="E612" s="37"/>
      <c r="F612" s="37"/>
      <c r="G612" s="37"/>
      <c r="H612" s="37"/>
      <c r="I612" s="36" t="s">
        <v>1858</v>
      </c>
      <c r="M612" s="43" t="s">
        <v>2159</v>
      </c>
      <c r="N612" s="43"/>
      <c r="O612" s="43"/>
      <c r="P612" s="43"/>
      <c r="Q612" s="43"/>
      <c r="R612" s="43"/>
      <c r="S612" s="43"/>
      <c r="T612" s="43"/>
      <c r="U612" s="43"/>
      <c r="V612" s="43"/>
      <c r="W612" s="43"/>
      <c r="X612" s="43"/>
      <c r="Y612" s="43"/>
      <c r="Z612" s="43"/>
    </row>
    <row r="613" spans="1:26" x14ac:dyDescent="0.2">
      <c r="A613" s="35" t="s">
        <v>1877</v>
      </c>
      <c r="B613" s="35"/>
      <c r="C613" s="35"/>
      <c r="D613" s="35"/>
      <c r="E613" s="35"/>
      <c r="F613" s="35"/>
      <c r="G613" s="35"/>
      <c r="H613" s="35"/>
      <c r="I613" s="35"/>
      <c r="M613" s="43"/>
      <c r="N613" s="43"/>
      <c r="O613" s="43"/>
      <c r="P613" s="43"/>
      <c r="Q613" s="43"/>
      <c r="R613" s="43"/>
      <c r="S613" s="43"/>
      <c r="T613" s="43"/>
      <c r="U613" s="43"/>
      <c r="V613" s="43"/>
      <c r="W613" s="43"/>
      <c r="X613" s="43"/>
      <c r="Y613" s="43"/>
      <c r="Z613" s="43"/>
    </row>
    <row r="614" spans="1:26" x14ac:dyDescent="0.2">
      <c r="A614" s="35"/>
      <c r="B614" s="35"/>
      <c r="C614" s="35"/>
      <c r="D614" s="35"/>
      <c r="E614" s="35"/>
      <c r="F614" s="35"/>
      <c r="G614" s="35"/>
      <c r="H614" s="35"/>
      <c r="I614" s="35"/>
      <c r="M614" s="43"/>
      <c r="N614" s="43"/>
      <c r="O614" s="43"/>
      <c r="P614" s="43"/>
      <c r="Q614" s="43"/>
      <c r="R614" s="43"/>
      <c r="S614" s="43"/>
      <c r="T614" s="43"/>
      <c r="U614" s="43"/>
      <c r="V614" s="43"/>
      <c r="W614" s="43"/>
      <c r="X614" s="43"/>
      <c r="Y614" s="43"/>
      <c r="Z614" s="43"/>
    </row>
    <row r="615" spans="1:26" x14ac:dyDescent="0.2">
      <c r="A615" s="35"/>
      <c r="B615" s="35"/>
      <c r="C615" s="35"/>
      <c r="D615" s="35"/>
      <c r="E615" s="35"/>
      <c r="F615" s="35"/>
      <c r="G615" s="35"/>
      <c r="H615" s="35"/>
      <c r="I615" s="35"/>
      <c r="M615" s="43"/>
      <c r="N615" s="43"/>
      <c r="O615" s="43"/>
      <c r="P615" s="43"/>
      <c r="Q615" s="43"/>
      <c r="R615" s="43"/>
      <c r="S615" s="43"/>
      <c r="T615" s="43"/>
      <c r="U615" s="43"/>
      <c r="V615" s="43"/>
      <c r="W615" s="43"/>
      <c r="X615" s="43"/>
      <c r="Y615" s="43"/>
      <c r="Z615" s="43"/>
    </row>
    <row r="616" spans="1:26" x14ac:dyDescent="0.2">
      <c r="A616" s="35"/>
      <c r="B616" s="35"/>
      <c r="C616" s="35"/>
      <c r="D616" s="35"/>
      <c r="E616" s="35"/>
      <c r="F616" s="35"/>
      <c r="G616" s="35"/>
      <c r="H616" s="35"/>
      <c r="I616" s="35"/>
      <c r="M616" s="43"/>
      <c r="N616" s="43"/>
      <c r="O616" s="43"/>
      <c r="P616" s="43"/>
      <c r="Q616" s="43"/>
      <c r="R616" s="43"/>
      <c r="S616" s="43"/>
      <c r="T616" s="43"/>
      <c r="U616" s="43"/>
      <c r="V616" s="43"/>
      <c r="W616" s="43"/>
      <c r="X616" s="43"/>
      <c r="Y616" s="43"/>
      <c r="Z616" s="43"/>
    </row>
    <row r="617" spans="1:26" ht="16" x14ac:dyDescent="0.2">
      <c r="A617" s="34" t="s">
        <v>0</v>
      </c>
      <c r="B617" s="33" t="s">
        <v>1170</v>
      </c>
      <c r="C617" s="33"/>
      <c r="D617" s="33"/>
      <c r="E617" s="33"/>
      <c r="F617" s="33"/>
      <c r="G617" s="33"/>
      <c r="H617" s="33"/>
      <c r="J617" s="28">
        <f>IF(ISNUMBER(SEARCH("x",I617)),-0.5,0)</f>
        <v>0</v>
      </c>
      <c r="K617" s="19">
        <f>MAX(SUM(J617:J621),0)</f>
        <v>1</v>
      </c>
      <c r="M617" s="43"/>
      <c r="N617" s="43"/>
      <c r="O617" s="43"/>
      <c r="P617" s="43"/>
      <c r="Q617" s="43"/>
      <c r="R617" s="43"/>
      <c r="S617" s="43"/>
      <c r="T617" s="43"/>
      <c r="U617" s="43"/>
      <c r="V617" s="43"/>
      <c r="W617" s="43"/>
      <c r="X617" s="43"/>
      <c r="Y617" s="43"/>
      <c r="Z617" s="43"/>
    </row>
    <row r="618" spans="1:26" ht="16" x14ac:dyDescent="0.2">
      <c r="A618" s="34" t="s">
        <v>1</v>
      </c>
      <c r="B618" s="33" t="s">
        <v>1876</v>
      </c>
      <c r="C618" s="33"/>
      <c r="D618" s="33"/>
      <c r="E618" s="33"/>
      <c r="F618" s="33"/>
      <c r="G618" s="33"/>
      <c r="H618" s="33"/>
      <c r="J618" s="28">
        <f>IF(ISNUMBER(SEARCH("x",I618)),-0.5,0)</f>
        <v>0</v>
      </c>
      <c r="K618" s="19"/>
      <c r="M618" s="43"/>
      <c r="N618" s="43"/>
      <c r="O618" s="43"/>
      <c r="P618" s="43"/>
      <c r="Q618" s="43"/>
      <c r="R618" s="43"/>
      <c r="S618" s="43"/>
      <c r="T618" s="43"/>
      <c r="U618" s="43"/>
      <c r="V618" s="43"/>
      <c r="W618" s="43"/>
      <c r="X618" s="43"/>
      <c r="Y618" s="43"/>
      <c r="Z618" s="43"/>
    </row>
    <row r="619" spans="1:26" ht="16" x14ac:dyDescent="0.2">
      <c r="A619" s="34" t="s">
        <v>2</v>
      </c>
      <c r="B619" s="33" t="s">
        <v>1875</v>
      </c>
      <c r="C619" s="33"/>
      <c r="D619" s="33"/>
      <c r="E619" s="33"/>
      <c r="F619" s="33"/>
      <c r="G619" s="33"/>
      <c r="H619" s="33"/>
      <c r="J619" s="28">
        <f>IF(ISNUMBER(SEARCH("x",I619)),-0.5,0)</f>
        <v>0</v>
      </c>
      <c r="K619" s="19"/>
      <c r="M619" s="43"/>
      <c r="N619" s="43"/>
      <c r="O619" s="43"/>
      <c r="P619" s="43"/>
      <c r="Q619" s="43"/>
      <c r="R619" s="43"/>
      <c r="S619" s="43"/>
      <c r="T619" s="43"/>
      <c r="U619" s="43"/>
      <c r="V619" s="43"/>
      <c r="W619" s="43"/>
      <c r="X619" s="43"/>
      <c r="Y619" s="43"/>
      <c r="Z619" s="43"/>
    </row>
    <row r="620" spans="1:26" ht="16" x14ac:dyDescent="0.2">
      <c r="A620" s="42" t="s">
        <v>3</v>
      </c>
      <c r="B620" s="41" t="s">
        <v>1874</v>
      </c>
      <c r="C620" s="41"/>
      <c r="D620" s="41"/>
      <c r="E620" s="41"/>
      <c r="F620" s="41"/>
      <c r="G620" s="41"/>
      <c r="H620" s="41"/>
      <c r="I620" s="40" t="s">
        <v>2154</v>
      </c>
      <c r="J620" s="28">
        <f>IF(ISNUMBER(SEARCH("x",I620)),0.5,0)</f>
        <v>0.5</v>
      </c>
      <c r="K620" s="19"/>
      <c r="M620" s="43"/>
      <c r="N620" s="43"/>
      <c r="O620" s="43"/>
      <c r="P620" s="43"/>
      <c r="Q620" s="43"/>
      <c r="R620" s="43"/>
      <c r="S620" s="43"/>
      <c r="T620" s="43"/>
      <c r="U620" s="43"/>
      <c r="V620" s="43"/>
      <c r="W620" s="43"/>
      <c r="X620" s="43"/>
      <c r="Y620" s="43"/>
      <c r="Z620" s="43"/>
    </row>
    <row r="621" spans="1:26" ht="16" x14ac:dyDescent="0.2">
      <c r="A621" s="42" t="s">
        <v>6</v>
      </c>
      <c r="B621" s="41" t="s">
        <v>1873</v>
      </c>
      <c r="C621" s="41"/>
      <c r="D621" s="41"/>
      <c r="E621" s="41"/>
      <c r="F621" s="41"/>
      <c r="G621" s="41"/>
      <c r="H621" s="41"/>
      <c r="I621" s="40" t="s">
        <v>2154</v>
      </c>
      <c r="J621" s="28">
        <f>IF(ISNUMBER(SEARCH("x",I621)),0.5,0)</f>
        <v>0.5</v>
      </c>
      <c r="K621" s="19"/>
      <c r="M621" s="43"/>
      <c r="N621" s="43"/>
      <c r="O621" s="43"/>
      <c r="P621" s="43"/>
      <c r="Q621" s="43"/>
      <c r="R621" s="43"/>
      <c r="S621" s="43"/>
      <c r="T621" s="43"/>
      <c r="U621" s="43"/>
      <c r="V621" s="43"/>
      <c r="W621" s="43"/>
      <c r="X621" s="43"/>
      <c r="Y621" s="43"/>
      <c r="Z621" s="43"/>
    </row>
    <row r="622" spans="1:26" s="27" customFormat="1" x14ac:dyDescent="0.2"/>
    <row r="623" spans="1:26" x14ac:dyDescent="0.2">
      <c r="A623" s="37" t="s">
        <v>1872</v>
      </c>
      <c r="B623" s="37"/>
      <c r="C623" s="37"/>
      <c r="D623" s="37"/>
      <c r="E623" s="37"/>
      <c r="F623" s="37"/>
      <c r="G623" s="37"/>
      <c r="H623" s="37"/>
      <c r="I623" s="36" t="s">
        <v>1858</v>
      </c>
      <c r="M623" s="43" t="s">
        <v>2158</v>
      </c>
      <c r="N623" s="39"/>
      <c r="O623" s="39"/>
      <c r="P623" s="39"/>
      <c r="Q623" s="39"/>
      <c r="R623" s="39"/>
      <c r="S623" s="39"/>
      <c r="T623" s="39"/>
      <c r="U623" s="39"/>
      <c r="V623" s="39"/>
      <c r="W623" s="39"/>
      <c r="X623" s="39"/>
      <c r="Y623" s="39"/>
      <c r="Z623" s="39"/>
    </row>
    <row r="624" spans="1:26" x14ac:dyDescent="0.2">
      <c r="A624" s="35" t="s">
        <v>1871</v>
      </c>
      <c r="B624" s="35"/>
      <c r="C624" s="35"/>
      <c r="D624" s="35"/>
      <c r="E624" s="35"/>
      <c r="F624" s="35"/>
      <c r="G624" s="35"/>
      <c r="H624" s="35"/>
      <c r="I624" s="35"/>
      <c r="M624" s="39"/>
      <c r="N624" s="39"/>
      <c r="O624" s="39"/>
      <c r="P624" s="39"/>
      <c r="Q624" s="39"/>
      <c r="R624" s="39"/>
      <c r="S624" s="39"/>
      <c r="T624" s="39"/>
      <c r="U624" s="39"/>
      <c r="V624" s="39"/>
      <c r="W624" s="39"/>
      <c r="X624" s="39"/>
      <c r="Y624" s="39"/>
      <c r="Z624" s="39"/>
    </row>
    <row r="625" spans="1:26" x14ac:dyDescent="0.2">
      <c r="A625" s="35"/>
      <c r="B625" s="35"/>
      <c r="C625" s="35"/>
      <c r="D625" s="35"/>
      <c r="E625" s="35"/>
      <c r="F625" s="35"/>
      <c r="G625" s="35"/>
      <c r="H625" s="35"/>
      <c r="I625" s="35"/>
      <c r="M625" s="39"/>
      <c r="N625" s="39"/>
      <c r="O625" s="39"/>
      <c r="P625" s="39"/>
      <c r="Q625" s="39"/>
      <c r="R625" s="39"/>
      <c r="S625" s="39"/>
      <c r="T625" s="39"/>
      <c r="U625" s="39"/>
      <c r="V625" s="39"/>
      <c r="W625" s="39"/>
      <c r="X625" s="39"/>
      <c r="Y625" s="39"/>
      <c r="Z625" s="39"/>
    </row>
    <row r="626" spans="1:26" x14ac:dyDescent="0.2">
      <c r="A626" s="35"/>
      <c r="B626" s="35"/>
      <c r="C626" s="35"/>
      <c r="D626" s="35"/>
      <c r="E626" s="35"/>
      <c r="F626" s="35"/>
      <c r="G626" s="35"/>
      <c r="H626" s="35"/>
      <c r="I626" s="35"/>
      <c r="M626" s="39"/>
      <c r="N626" s="39"/>
      <c r="O626" s="39"/>
      <c r="P626" s="39"/>
      <c r="Q626" s="39"/>
      <c r="R626" s="39"/>
      <c r="S626" s="39"/>
      <c r="T626" s="39"/>
      <c r="U626" s="39"/>
      <c r="V626" s="39"/>
      <c r="W626" s="39"/>
      <c r="X626" s="39"/>
      <c r="Y626" s="39"/>
      <c r="Z626" s="39"/>
    </row>
    <row r="627" spans="1:26" ht="210.5" customHeight="1" x14ac:dyDescent="0.2">
      <c r="A627" s="35"/>
      <c r="B627" s="35"/>
      <c r="C627" s="35"/>
      <c r="D627" s="35"/>
      <c r="E627" s="35"/>
      <c r="F627" s="35"/>
      <c r="G627" s="35"/>
      <c r="H627" s="35"/>
      <c r="I627" s="35"/>
      <c r="M627" s="39"/>
      <c r="N627" s="39"/>
      <c r="O627" s="39"/>
      <c r="P627" s="39"/>
      <c r="Q627" s="39"/>
      <c r="R627" s="39"/>
      <c r="S627" s="39"/>
      <c r="T627" s="39"/>
      <c r="U627" s="39"/>
      <c r="V627" s="39"/>
      <c r="W627" s="39"/>
      <c r="X627" s="39"/>
      <c r="Y627" s="39"/>
      <c r="Z627" s="39"/>
    </row>
    <row r="628" spans="1:26" ht="16" x14ac:dyDescent="0.2">
      <c r="A628" s="34" t="s">
        <v>0</v>
      </c>
      <c r="B628" s="33" t="s">
        <v>1426</v>
      </c>
      <c r="C628" s="33"/>
      <c r="D628" s="33"/>
      <c r="E628" s="33"/>
      <c r="F628" s="33"/>
      <c r="G628" s="33"/>
      <c r="H628" s="33"/>
      <c r="J628" s="28">
        <v>0</v>
      </c>
      <c r="K628" s="19">
        <f>SUM(J628:J631)</f>
        <v>1</v>
      </c>
      <c r="M628" s="39"/>
      <c r="N628" s="39"/>
      <c r="O628" s="39"/>
      <c r="P628" s="39"/>
      <c r="Q628" s="39"/>
      <c r="R628" s="39"/>
      <c r="S628" s="39"/>
      <c r="T628" s="39"/>
      <c r="U628" s="39"/>
      <c r="V628" s="39"/>
      <c r="W628" s="39"/>
      <c r="X628" s="39"/>
      <c r="Y628" s="39"/>
      <c r="Z628" s="39"/>
    </row>
    <row r="629" spans="1:26" ht="16" x14ac:dyDescent="0.2">
      <c r="A629" s="34" t="s">
        <v>1</v>
      </c>
      <c r="B629" s="33" t="s">
        <v>1139</v>
      </c>
      <c r="C629" s="33"/>
      <c r="D629" s="33"/>
      <c r="E629" s="33"/>
      <c r="F629" s="33"/>
      <c r="G629" s="33"/>
      <c r="H629" s="33"/>
      <c r="J629" s="28">
        <v>0</v>
      </c>
      <c r="K629" s="19"/>
      <c r="M629" s="39"/>
      <c r="N629" s="39"/>
      <c r="O629" s="39"/>
      <c r="P629" s="39"/>
      <c r="Q629" s="39"/>
      <c r="R629" s="39"/>
      <c r="S629" s="39"/>
      <c r="T629" s="39"/>
      <c r="U629" s="39"/>
      <c r="V629" s="39"/>
      <c r="W629" s="39"/>
      <c r="X629" s="39"/>
      <c r="Y629" s="39"/>
      <c r="Z629" s="39"/>
    </row>
    <row r="630" spans="1:26" ht="16" x14ac:dyDescent="0.2">
      <c r="A630" s="42" t="s">
        <v>2</v>
      </c>
      <c r="B630" s="41" t="s">
        <v>1870</v>
      </c>
      <c r="C630" s="41"/>
      <c r="D630" s="41"/>
      <c r="E630" s="41"/>
      <c r="F630" s="41"/>
      <c r="G630" s="41"/>
      <c r="H630" s="41"/>
      <c r="I630" s="40" t="s">
        <v>2154</v>
      </c>
      <c r="J630" s="28">
        <f>IF(ISNUMBER(SEARCH("x",I630)),1,0)</f>
        <v>1</v>
      </c>
      <c r="K630" s="19"/>
      <c r="M630" s="39"/>
      <c r="N630" s="39"/>
      <c r="O630" s="39"/>
      <c r="P630" s="39"/>
      <c r="Q630" s="39"/>
      <c r="R630" s="39"/>
      <c r="S630" s="39"/>
      <c r="T630" s="39"/>
      <c r="U630" s="39"/>
      <c r="V630" s="39"/>
      <c r="W630" s="39"/>
      <c r="X630" s="39"/>
      <c r="Y630" s="39"/>
      <c r="Z630" s="39"/>
    </row>
    <row r="631" spans="1:26" ht="16" x14ac:dyDescent="0.2">
      <c r="A631" s="34" t="s">
        <v>3</v>
      </c>
      <c r="B631" s="33" t="s">
        <v>761</v>
      </c>
      <c r="C631" s="33"/>
      <c r="D631" s="33"/>
      <c r="E631" s="33"/>
      <c r="F631" s="33"/>
      <c r="G631" s="33"/>
      <c r="H631" s="33"/>
      <c r="J631" s="28">
        <v>0</v>
      </c>
      <c r="K631" s="19"/>
      <c r="M631" s="39"/>
      <c r="N631" s="39"/>
      <c r="O631" s="39"/>
      <c r="P631" s="39"/>
      <c r="Q631" s="39"/>
      <c r="R631" s="39"/>
      <c r="S631" s="39"/>
      <c r="T631" s="39"/>
      <c r="U631" s="39"/>
      <c r="V631" s="39"/>
      <c r="W631" s="39"/>
      <c r="X631" s="39"/>
      <c r="Y631" s="39"/>
      <c r="Z631" s="39"/>
    </row>
    <row r="632" spans="1:26" s="27" customFormat="1" x14ac:dyDescent="0.2"/>
    <row r="633" spans="1:26" x14ac:dyDescent="0.2">
      <c r="A633" s="37" t="s">
        <v>1869</v>
      </c>
      <c r="B633" s="37"/>
      <c r="C633" s="37"/>
      <c r="D633" s="37"/>
      <c r="E633" s="37"/>
      <c r="F633" s="37"/>
      <c r="G633" s="37"/>
      <c r="H633" s="37"/>
      <c r="I633" s="36" t="s">
        <v>1858</v>
      </c>
      <c r="M633" s="43" t="s">
        <v>2157</v>
      </c>
      <c r="N633" s="39"/>
      <c r="O633" s="39"/>
      <c r="P633" s="39"/>
      <c r="Q633" s="39"/>
      <c r="R633" s="39"/>
      <c r="S633" s="39"/>
      <c r="T633" s="39"/>
      <c r="U633" s="39"/>
      <c r="V633" s="39"/>
      <c r="W633" s="39"/>
      <c r="X633" s="39"/>
      <c r="Y633" s="39"/>
      <c r="Z633" s="39"/>
    </row>
    <row r="634" spans="1:26" x14ac:dyDescent="0.2">
      <c r="A634" s="35" t="s">
        <v>1868</v>
      </c>
      <c r="B634" s="35"/>
      <c r="C634" s="35"/>
      <c r="D634" s="35"/>
      <c r="E634" s="35"/>
      <c r="F634" s="35"/>
      <c r="G634" s="35"/>
      <c r="H634" s="35"/>
      <c r="I634" s="35"/>
      <c r="M634" s="39"/>
      <c r="N634" s="39"/>
      <c r="O634" s="39"/>
      <c r="P634" s="39"/>
      <c r="Q634" s="39"/>
      <c r="R634" s="39"/>
      <c r="S634" s="39"/>
      <c r="T634" s="39"/>
      <c r="U634" s="39"/>
      <c r="V634" s="39"/>
      <c r="W634" s="39"/>
      <c r="X634" s="39"/>
      <c r="Y634" s="39"/>
      <c r="Z634" s="39"/>
    </row>
    <row r="635" spans="1:26" x14ac:dyDescent="0.2">
      <c r="A635" s="35"/>
      <c r="B635" s="35"/>
      <c r="C635" s="35"/>
      <c r="D635" s="35"/>
      <c r="E635" s="35"/>
      <c r="F635" s="35"/>
      <c r="G635" s="35"/>
      <c r="H635" s="35"/>
      <c r="I635" s="35"/>
      <c r="M635" s="39"/>
      <c r="N635" s="39"/>
      <c r="O635" s="39"/>
      <c r="P635" s="39"/>
      <c r="Q635" s="39"/>
      <c r="R635" s="39"/>
      <c r="S635" s="39"/>
      <c r="T635" s="39"/>
      <c r="U635" s="39"/>
      <c r="V635" s="39"/>
      <c r="W635" s="39"/>
      <c r="X635" s="39"/>
      <c r="Y635" s="39"/>
      <c r="Z635" s="39"/>
    </row>
    <row r="636" spans="1:26" x14ac:dyDescent="0.2">
      <c r="A636" s="35"/>
      <c r="B636" s="35"/>
      <c r="C636" s="35"/>
      <c r="D636" s="35"/>
      <c r="E636" s="35"/>
      <c r="F636" s="35"/>
      <c r="G636" s="35"/>
      <c r="H636" s="35"/>
      <c r="I636" s="35"/>
      <c r="M636" s="39"/>
      <c r="N636" s="39"/>
      <c r="O636" s="39"/>
      <c r="P636" s="39"/>
      <c r="Q636" s="39"/>
      <c r="R636" s="39"/>
      <c r="S636" s="39"/>
      <c r="T636" s="39"/>
      <c r="U636" s="39"/>
      <c r="V636" s="39"/>
      <c r="W636" s="39"/>
      <c r="X636" s="39"/>
      <c r="Y636" s="39"/>
      <c r="Z636" s="39"/>
    </row>
    <row r="637" spans="1:26" ht="84.5" customHeight="1" x14ac:dyDescent="0.2">
      <c r="A637" s="35"/>
      <c r="B637" s="35"/>
      <c r="C637" s="35"/>
      <c r="D637" s="35"/>
      <c r="E637" s="35"/>
      <c r="F637" s="35"/>
      <c r="G637" s="35"/>
      <c r="H637" s="35"/>
      <c r="I637" s="35"/>
      <c r="M637" s="39"/>
      <c r="N637" s="39"/>
      <c r="O637" s="39"/>
      <c r="P637" s="39"/>
      <c r="Q637" s="39"/>
      <c r="R637" s="39"/>
      <c r="S637" s="39"/>
      <c r="T637" s="39"/>
      <c r="U637" s="39"/>
      <c r="V637" s="39"/>
      <c r="W637" s="39"/>
      <c r="X637" s="39"/>
      <c r="Y637" s="39"/>
      <c r="Z637" s="39"/>
    </row>
    <row r="638" spans="1:26" ht="28.75" customHeight="1" x14ac:dyDescent="0.2">
      <c r="A638" s="34" t="s">
        <v>0</v>
      </c>
      <c r="B638" s="33" t="s">
        <v>1867</v>
      </c>
      <c r="C638" s="33"/>
      <c r="D638" s="33"/>
      <c r="E638" s="33"/>
      <c r="F638" s="33"/>
      <c r="G638" s="33"/>
      <c r="H638" s="33"/>
      <c r="J638" s="28">
        <v>0</v>
      </c>
      <c r="K638" s="19">
        <f>SUM(J638:J641)</f>
        <v>1</v>
      </c>
      <c r="M638" s="39"/>
      <c r="N638" s="39"/>
      <c r="O638" s="39"/>
      <c r="P638" s="39"/>
      <c r="Q638" s="39"/>
      <c r="R638" s="39"/>
      <c r="S638" s="39"/>
      <c r="T638" s="39"/>
      <c r="U638" s="39"/>
      <c r="V638" s="39"/>
      <c r="W638" s="39"/>
      <c r="X638" s="39"/>
      <c r="Y638" s="39"/>
      <c r="Z638" s="39"/>
    </row>
    <row r="639" spans="1:26" ht="28.75" customHeight="1" x14ac:dyDescent="0.2">
      <c r="A639" s="42" t="s">
        <v>1</v>
      </c>
      <c r="B639" s="41" t="s">
        <v>1866</v>
      </c>
      <c r="C639" s="41"/>
      <c r="D639" s="41"/>
      <c r="E639" s="41"/>
      <c r="F639" s="41"/>
      <c r="G639" s="41"/>
      <c r="H639" s="41"/>
      <c r="I639" s="40" t="s">
        <v>2154</v>
      </c>
      <c r="J639" s="28">
        <f>IF(ISNUMBER(SEARCH("x",I639)),1,0)</f>
        <v>1</v>
      </c>
      <c r="K639" s="19"/>
      <c r="M639" s="39"/>
      <c r="N639" s="39"/>
      <c r="O639" s="39"/>
      <c r="P639" s="39"/>
      <c r="Q639" s="39"/>
      <c r="R639" s="39"/>
      <c r="S639" s="39"/>
      <c r="T639" s="39"/>
      <c r="U639" s="39"/>
      <c r="V639" s="39"/>
      <c r="W639" s="39"/>
      <c r="X639" s="39"/>
      <c r="Y639" s="39"/>
      <c r="Z639" s="39"/>
    </row>
    <row r="640" spans="1:26" ht="28.75" customHeight="1" x14ac:dyDescent="0.2">
      <c r="A640" s="34" t="s">
        <v>2</v>
      </c>
      <c r="B640" s="33" t="s">
        <v>1865</v>
      </c>
      <c r="C640" s="33"/>
      <c r="D640" s="33"/>
      <c r="E640" s="33"/>
      <c r="F640" s="33"/>
      <c r="G640" s="33"/>
      <c r="H640" s="33"/>
      <c r="J640" s="38">
        <v>0</v>
      </c>
      <c r="K640" s="19"/>
      <c r="M640" s="39"/>
      <c r="N640" s="39"/>
      <c r="O640" s="39"/>
      <c r="P640" s="39"/>
      <c r="Q640" s="39"/>
      <c r="R640" s="39"/>
      <c r="S640" s="39"/>
      <c r="T640" s="39"/>
      <c r="U640" s="39"/>
      <c r="V640" s="39"/>
      <c r="W640" s="39"/>
      <c r="X640" s="39"/>
      <c r="Y640" s="39"/>
      <c r="Z640" s="39"/>
    </row>
    <row r="641" spans="1:26" ht="28.75" customHeight="1" x14ac:dyDescent="0.2">
      <c r="A641" s="34" t="s">
        <v>3</v>
      </c>
      <c r="B641" s="33" t="s">
        <v>1864</v>
      </c>
      <c r="C641" s="33"/>
      <c r="D641" s="33"/>
      <c r="E641" s="33"/>
      <c r="F641" s="33"/>
      <c r="G641" s="33"/>
      <c r="H641" s="33"/>
      <c r="J641" s="28">
        <v>0</v>
      </c>
      <c r="K641" s="19"/>
      <c r="M641" s="39"/>
      <c r="N641" s="39"/>
      <c r="O641" s="39"/>
      <c r="P641" s="39"/>
      <c r="Q641" s="39"/>
      <c r="R641" s="39"/>
      <c r="S641" s="39"/>
      <c r="T641" s="39"/>
      <c r="U641" s="39"/>
      <c r="V641" s="39"/>
      <c r="W641" s="39"/>
      <c r="X641" s="39"/>
      <c r="Y641" s="39"/>
      <c r="Z641" s="39"/>
    </row>
    <row r="642" spans="1:26" s="27" customFormat="1" x14ac:dyDescent="0.2"/>
    <row r="643" spans="1:26" x14ac:dyDescent="0.2">
      <c r="A643" s="37" t="s">
        <v>1863</v>
      </c>
      <c r="B643" s="37"/>
      <c r="C643" s="37"/>
      <c r="D643" s="37"/>
      <c r="E643" s="37"/>
      <c r="F643" s="37"/>
      <c r="G643" s="37"/>
      <c r="H643" s="37"/>
      <c r="I643" s="36" t="s">
        <v>1858</v>
      </c>
      <c r="M643" s="43" t="s">
        <v>2156</v>
      </c>
      <c r="N643" s="39"/>
      <c r="O643" s="39"/>
      <c r="P643" s="39"/>
      <c r="Q643" s="39"/>
      <c r="R643" s="39"/>
      <c r="S643" s="39"/>
      <c r="T643" s="39"/>
      <c r="U643" s="39"/>
      <c r="V643" s="39"/>
      <c r="W643" s="39"/>
      <c r="X643" s="39"/>
      <c r="Y643" s="39"/>
      <c r="Z643" s="39"/>
    </row>
    <row r="644" spans="1:26" x14ac:dyDescent="0.2">
      <c r="A644" s="35" t="s">
        <v>1862</v>
      </c>
      <c r="B644" s="35"/>
      <c r="C644" s="35"/>
      <c r="D644" s="35"/>
      <c r="E644" s="35"/>
      <c r="F644" s="35"/>
      <c r="G644" s="35"/>
      <c r="H644" s="35"/>
      <c r="I644" s="35"/>
      <c r="M644" s="39"/>
      <c r="N644" s="39"/>
      <c r="O644" s="39"/>
      <c r="P644" s="39"/>
      <c r="Q644" s="39"/>
      <c r="R644" s="39"/>
      <c r="S644" s="39"/>
      <c r="T644" s="39"/>
      <c r="U644" s="39"/>
      <c r="V644" s="39"/>
      <c r="W644" s="39"/>
      <c r="X644" s="39"/>
      <c r="Y644" s="39"/>
      <c r="Z644" s="39"/>
    </row>
    <row r="645" spans="1:26" x14ac:dyDescent="0.2">
      <c r="A645" s="35"/>
      <c r="B645" s="35"/>
      <c r="C645" s="35"/>
      <c r="D645" s="35"/>
      <c r="E645" s="35"/>
      <c r="F645" s="35"/>
      <c r="G645" s="35"/>
      <c r="H645" s="35"/>
      <c r="I645" s="35"/>
      <c r="M645" s="39"/>
      <c r="N645" s="39"/>
      <c r="O645" s="39"/>
      <c r="P645" s="39"/>
      <c r="Q645" s="39"/>
      <c r="R645" s="39"/>
      <c r="S645" s="39"/>
      <c r="T645" s="39"/>
      <c r="U645" s="39"/>
      <c r="V645" s="39"/>
      <c r="W645" s="39"/>
      <c r="X645" s="39"/>
      <c r="Y645" s="39"/>
      <c r="Z645" s="39"/>
    </row>
    <row r="646" spans="1:26" x14ac:dyDescent="0.2">
      <c r="A646" s="35"/>
      <c r="B646" s="35"/>
      <c r="C646" s="35"/>
      <c r="D646" s="35"/>
      <c r="E646" s="35"/>
      <c r="F646" s="35"/>
      <c r="G646" s="35"/>
      <c r="H646" s="35"/>
      <c r="I646" s="35"/>
      <c r="M646" s="39"/>
      <c r="N646" s="39"/>
      <c r="O646" s="39"/>
      <c r="P646" s="39"/>
      <c r="Q646" s="39"/>
      <c r="R646" s="39"/>
      <c r="S646" s="39"/>
      <c r="T646" s="39"/>
      <c r="U646" s="39"/>
      <c r="V646" s="39"/>
      <c r="W646" s="39"/>
      <c r="X646" s="39"/>
      <c r="Y646" s="39"/>
      <c r="Z646" s="39"/>
    </row>
    <row r="647" spans="1:26" ht="54.5" customHeight="1" x14ac:dyDescent="0.2">
      <c r="A647" s="35"/>
      <c r="B647" s="35"/>
      <c r="C647" s="35"/>
      <c r="D647" s="35"/>
      <c r="E647" s="35"/>
      <c r="F647" s="35"/>
      <c r="G647" s="35"/>
      <c r="H647" s="35"/>
      <c r="I647" s="35"/>
      <c r="M647" s="39"/>
      <c r="N647" s="39"/>
      <c r="O647" s="39"/>
      <c r="P647" s="39"/>
      <c r="Q647" s="39"/>
      <c r="R647" s="39"/>
      <c r="S647" s="39"/>
      <c r="T647" s="39"/>
      <c r="U647" s="39"/>
      <c r="V647" s="39"/>
      <c r="W647" s="39"/>
      <c r="X647" s="39"/>
      <c r="Y647" s="39"/>
      <c r="Z647" s="39"/>
    </row>
    <row r="648" spans="1:26" ht="16" x14ac:dyDescent="0.2">
      <c r="A648" s="34" t="s">
        <v>0</v>
      </c>
      <c r="B648" s="33" t="s">
        <v>1861</v>
      </c>
      <c r="C648" s="33"/>
      <c r="D648" s="33"/>
      <c r="E648" s="33"/>
      <c r="F648" s="33"/>
      <c r="G648" s="33"/>
      <c r="H648" s="33"/>
      <c r="J648" s="28">
        <v>0</v>
      </c>
      <c r="K648" s="19">
        <f>SUM(J648:J651)</f>
        <v>1</v>
      </c>
      <c r="M648" s="39"/>
      <c r="N648" s="39"/>
      <c r="O648" s="39"/>
      <c r="P648" s="39"/>
      <c r="Q648" s="39"/>
      <c r="R648" s="39"/>
      <c r="S648" s="39"/>
      <c r="T648" s="39"/>
      <c r="U648" s="39"/>
      <c r="V648" s="39"/>
      <c r="W648" s="39"/>
      <c r="X648" s="39"/>
      <c r="Y648" s="39"/>
      <c r="Z648" s="39"/>
    </row>
    <row r="649" spans="1:26" ht="16" x14ac:dyDescent="0.2">
      <c r="A649" s="34" t="s">
        <v>1</v>
      </c>
      <c r="B649" s="33" t="s">
        <v>41</v>
      </c>
      <c r="C649" s="33"/>
      <c r="D649" s="33"/>
      <c r="E649" s="33"/>
      <c r="F649" s="33"/>
      <c r="G649" s="33"/>
      <c r="H649" s="33"/>
      <c r="J649" s="28">
        <v>0</v>
      </c>
      <c r="K649" s="19"/>
      <c r="M649" s="39"/>
      <c r="N649" s="39"/>
      <c r="O649" s="39"/>
      <c r="P649" s="39"/>
      <c r="Q649" s="39"/>
      <c r="R649" s="39"/>
      <c r="S649" s="39"/>
      <c r="T649" s="39"/>
      <c r="U649" s="39"/>
      <c r="V649" s="39"/>
      <c r="W649" s="39"/>
      <c r="X649" s="39"/>
      <c r="Y649" s="39"/>
      <c r="Z649" s="39"/>
    </row>
    <row r="650" spans="1:26" ht="16" x14ac:dyDescent="0.2">
      <c r="A650" s="42" t="s">
        <v>2</v>
      </c>
      <c r="B650" s="41" t="s">
        <v>1491</v>
      </c>
      <c r="C650" s="41"/>
      <c r="D650" s="41"/>
      <c r="E650" s="41"/>
      <c r="F650" s="41"/>
      <c r="G650" s="41"/>
      <c r="H650" s="41"/>
      <c r="I650" s="40" t="s">
        <v>2154</v>
      </c>
      <c r="J650" s="28">
        <f>IF(ISNUMBER(SEARCH("x",I650)),1,0)</f>
        <v>1</v>
      </c>
      <c r="K650" s="19"/>
      <c r="M650" s="39"/>
      <c r="N650" s="39"/>
      <c r="O650" s="39"/>
      <c r="P650" s="39"/>
      <c r="Q650" s="39"/>
      <c r="R650" s="39"/>
      <c r="S650" s="39"/>
      <c r="T650" s="39"/>
      <c r="U650" s="39"/>
      <c r="V650" s="39"/>
      <c r="W650" s="39"/>
      <c r="X650" s="39"/>
      <c r="Y650" s="39"/>
      <c r="Z650" s="39"/>
    </row>
    <row r="651" spans="1:26" ht="16" x14ac:dyDescent="0.2">
      <c r="A651" s="34" t="s">
        <v>3</v>
      </c>
      <c r="B651" s="33" t="s">
        <v>1860</v>
      </c>
      <c r="C651" s="33"/>
      <c r="D651" s="33"/>
      <c r="E651" s="33"/>
      <c r="F651" s="33"/>
      <c r="G651" s="33"/>
      <c r="H651" s="33"/>
      <c r="J651" s="28">
        <v>0</v>
      </c>
      <c r="K651" s="19"/>
      <c r="M651" s="39"/>
      <c r="N651" s="39"/>
      <c r="O651" s="39"/>
      <c r="P651" s="39"/>
      <c r="Q651" s="39"/>
      <c r="R651" s="39"/>
      <c r="S651" s="39"/>
      <c r="T651" s="39"/>
      <c r="U651" s="39"/>
      <c r="V651" s="39"/>
      <c r="W651" s="39"/>
      <c r="X651" s="39"/>
      <c r="Y651" s="39"/>
      <c r="Z651" s="39"/>
    </row>
    <row r="652" spans="1:26" s="27" customFormat="1" x14ac:dyDescent="0.2"/>
    <row r="653" spans="1:26" x14ac:dyDescent="0.2">
      <c r="A653" s="37" t="s">
        <v>1859</v>
      </c>
      <c r="B653" s="37"/>
      <c r="C653" s="37"/>
      <c r="D653" s="37"/>
      <c r="E653" s="37"/>
      <c r="F653" s="37"/>
      <c r="G653" s="37"/>
      <c r="H653" s="37"/>
      <c r="I653" s="36" t="s">
        <v>1858</v>
      </c>
      <c r="M653" s="43" t="s">
        <v>2155</v>
      </c>
      <c r="N653" s="39"/>
      <c r="O653" s="39"/>
      <c r="P653" s="39"/>
      <c r="Q653" s="39"/>
      <c r="R653" s="39"/>
      <c r="S653" s="39"/>
      <c r="T653" s="39"/>
      <c r="U653" s="39"/>
      <c r="V653" s="39"/>
      <c r="W653" s="39"/>
      <c r="X653" s="39"/>
      <c r="Y653" s="39"/>
      <c r="Z653" s="39"/>
    </row>
    <row r="654" spans="1:26" x14ac:dyDescent="0.2">
      <c r="A654" s="35" t="s">
        <v>1857</v>
      </c>
      <c r="B654" s="35"/>
      <c r="C654" s="35"/>
      <c r="D654" s="35"/>
      <c r="E654" s="35"/>
      <c r="F654" s="35"/>
      <c r="G654" s="35"/>
      <c r="H654" s="35"/>
      <c r="I654" s="35"/>
      <c r="M654" s="39"/>
      <c r="N654" s="39"/>
      <c r="O654" s="39"/>
      <c r="P654" s="39"/>
      <c r="Q654" s="39"/>
      <c r="R654" s="39"/>
      <c r="S654" s="39"/>
      <c r="T654" s="39"/>
      <c r="U654" s="39"/>
      <c r="V654" s="39"/>
      <c r="W654" s="39"/>
      <c r="X654" s="39"/>
      <c r="Y654" s="39"/>
      <c r="Z654" s="39"/>
    </row>
    <row r="655" spans="1:26" x14ac:dyDescent="0.2">
      <c r="A655" s="35"/>
      <c r="B655" s="35"/>
      <c r="C655" s="35"/>
      <c r="D655" s="35"/>
      <c r="E655" s="35"/>
      <c r="F655" s="35"/>
      <c r="G655" s="35"/>
      <c r="H655" s="35"/>
      <c r="I655" s="35"/>
      <c r="M655" s="39"/>
      <c r="N655" s="39"/>
      <c r="O655" s="39"/>
      <c r="P655" s="39"/>
      <c r="Q655" s="39"/>
      <c r="R655" s="39"/>
      <c r="S655" s="39"/>
      <c r="T655" s="39"/>
      <c r="U655" s="39"/>
      <c r="V655" s="39"/>
      <c r="W655" s="39"/>
      <c r="X655" s="39"/>
      <c r="Y655" s="39"/>
      <c r="Z655" s="39"/>
    </row>
    <row r="656" spans="1:26" x14ac:dyDescent="0.2">
      <c r="A656" s="35"/>
      <c r="B656" s="35"/>
      <c r="C656" s="35"/>
      <c r="D656" s="35"/>
      <c r="E656" s="35"/>
      <c r="F656" s="35"/>
      <c r="G656" s="35"/>
      <c r="H656" s="35"/>
      <c r="I656" s="35"/>
      <c r="M656" s="39"/>
      <c r="N656" s="39"/>
      <c r="O656" s="39"/>
      <c r="P656" s="39"/>
      <c r="Q656" s="39"/>
      <c r="R656" s="39"/>
      <c r="S656" s="39"/>
      <c r="T656" s="39"/>
      <c r="U656" s="39"/>
      <c r="V656" s="39"/>
      <c r="W656" s="39"/>
      <c r="X656" s="39"/>
      <c r="Y656" s="39"/>
      <c r="Z656" s="39"/>
    </row>
    <row r="657" spans="1:26" ht="45.5" customHeight="1" x14ac:dyDescent="0.2">
      <c r="A657" s="35"/>
      <c r="B657" s="35"/>
      <c r="C657" s="35"/>
      <c r="D657" s="35"/>
      <c r="E657" s="35"/>
      <c r="F657" s="35"/>
      <c r="G657" s="35"/>
      <c r="H657" s="35"/>
      <c r="I657" s="35"/>
      <c r="M657" s="39"/>
      <c r="N657" s="39"/>
      <c r="O657" s="39"/>
      <c r="P657" s="39"/>
      <c r="Q657" s="39"/>
      <c r="R657" s="39"/>
      <c r="S657" s="39"/>
      <c r="T657" s="39"/>
      <c r="U657" s="39"/>
      <c r="V657" s="39"/>
      <c r="W657" s="39"/>
      <c r="X657" s="39"/>
      <c r="Y657" s="39"/>
      <c r="Z657" s="39"/>
    </row>
    <row r="658" spans="1:26" ht="16" x14ac:dyDescent="0.2">
      <c r="A658" s="34" t="s">
        <v>0</v>
      </c>
      <c r="B658" s="33" t="s">
        <v>1856</v>
      </c>
      <c r="C658" s="33"/>
      <c r="D658" s="33"/>
      <c r="E658" s="33"/>
      <c r="F658" s="33"/>
      <c r="G658" s="33"/>
      <c r="H658" s="33"/>
      <c r="J658" s="28">
        <v>0</v>
      </c>
      <c r="K658" s="19">
        <f>SUM(J658:J661)</f>
        <v>1</v>
      </c>
      <c r="M658" s="39"/>
      <c r="N658" s="39"/>
      <c r="O658" s="39"/>
      <c r="P658" s="39"/>
      <c r="Q658" s="39"/>
      <c r="R658" s="39"/>
      <c r="S658" s="39"/>
      <c r="T658" s="39"/>
      <c r="U658" s="39"/>
      <c r="V658" s="39"/>
      <c r="W658" s="39"/>
      <c r="X658" s="39"/>
      <c r="Y658" s="39"/>
      <c r="Z658" s="39"/>
    </row>
    <row r="659" spans="1:26" ht="16" x14ac:dyDescent="0.2">
      <c r="A659" s="34" t="s">
        <v>1</v>
      </c>
      <c r="B659" s="33" t="s">
        <v>1855</v>
      </c>
      <c r="C659" s="33"/>
      <c r="D659" s="33"/>
      <c r="E659" s="33"/>
      <c r="F659" s="33"/>
      <c r="G659" s="33"/>
      <c r="H659" s="33"/>
      <c r="J659" s="28">
        <v>0</v>
      </c>
      <c r="K659" s="19"/>
      <c r="M659" s="39"/>
      <c r="N659" s="39"/>
      <c r="O659" s="39"/>
      <c r="P659" s="39"/>
      <c r="Q659" s="39"/>
      <c r="R659" s="39"/>
      <c r="S659" s="39"/>
      <c r="T659" s="39"/>
      <c r="U659" s="39"/>
      <c r="V659" s="39"/>
      <c r="W659" s="39"/>
      <c r="X659" s="39"/>
      <c r="Y659" s="39"/>
      <c r="Z659" s="39"/>
    </row>
    <row r="660" spans="1:26" ht="16" x14ac:dyDescent="0.2">
      <c r="A660" s="42" t="s">
        <v>2</v>
      </c>
      <c r="B660" s="41" t="s">
        <v>1854</v>
      </c>
      <c r="C660" s="41"/>
      <c r="D660" s="41"/>
      <c r="E660" s="41"/>
      <c r="F660" s="41"/>
      <c r="G660" s="41"/>
      <c r="H660" s="41"/>
      <c r="I660" s="40" t="s">
        <v>2154</v>
      </c>
      <c r="J660" s="28">
        <f>IF(ISNUMBER(SEARCH("x",I660)),1,0)</f>
        <v>1</v>
      </c>
      <c r="K660" s="19"/>
      <c r="M660" s="39"/>
      <c r="N660" s="39"/>
      <c r="O660" s="39"/>
      <c r="P660" s="39"/>
      <c r="Q660" s="39"/>
      <c r="R660" s="39"/>
      <c r="S660" s="39"/>
      <c r="T660" s="39"/>
      <c r="U660" s="39"/>
      <c r="V660" s="39"/>
      <c r="W660" s="39"/>
      <c r="X660" s="39"/>
      <c r="Y660" s="39"/>
      <c r="Z660" s="39"/>
    </row>
    <row r="661" spans="1:26" ht="16" x14ac:dyDescent="0.2">
      <c r="A661" s="34" t="s">
        <v>3</v>
      </c>
      <c r="B661" s="33" t="s">
        <v>1853</v>
      </c>
      <c r="C661" s="33"/>
      <c r="D661" s="33"/>
      <c r="E661" s="33"/>
      <c r="F661" s="33"/>
      <c r="G661" s="33"/>
      <c r="H661" s="33"/>
      <c r="J661" s="28">
        <v>0</v>
      </c>
      <c r="K661" s="19"/>
      <c r="M661" s="39"/>
      <c r="N661" s="39"/>
      <c r="O661" s="39"/>
      <c r="P661" s="39"/>
      <c r="Q661" s="39"/>
      <c r="R661" s="39"/>
      <c r="S661" s="39"/>
      <c r="T661" s="39"/>
      <c r="U661" s="39"/>
      <c r="V661" s="39"/>
      <c r="W661" s="39"/>
      <c r="X661" s="39"/>
      <c r="Y661" s="39"/>
      <c r="Z661" s="39"/>
    </row>
    <row r="662" spans="1:26" s="27" customFormat="1" x14ac:dyDescent="0.2"/>
    <row r="663" spans="1:26" s="27" customFormat="1" x14ac:dyDescent="0.2"/>
    <row r="664" spans="1:26" ht="14.5" customHeight="1" x14ac:dyDescent="0.2">
      <c r="A664" s="27"/>
      <c r="B664" s="32" t="s">
        <v>1852</v>
      </c>
      <c r="C664" s="32"/>
      <c r="D664" s="32"/>
      <c r="E664" s="32"/>
      <c r="F664" s="29" t="s">
        <v>1851</v>
      </c>
      <c r="G664" s="29" t="s">
        <v>1850</v>
      </c>
      <c r="H664" s="29"/>
      <c r="I664" s="27"/>
    </row>
    <row r="665" spans="1:26" x14ac:dyDescent="0.2">
      <c r="A665" s="27"/>
      <c r="B665" s="32"/>
      <c r="C665" s="32"/>
      <c r="D665" s="32"/>
      <c r="E665" s="32"/>
      <c r="F665" s="31">
        <f>G665/65</f>
        <v>1</v>
      </c>
      <c r="G665">
        <f>SUM(K1:K664)</f>
        <v>65</v>
      </c>
      <c r="I665" s="27"/>
    </row>
    <row r="666" spans="1:26" ht="14.5" customHeight="1" x14ac:dyDescent="0.2">
      <c r="A666" s="27"/>
      <c r="B666" s="30" t="str">
        <f>IF(F665&gt;=70%,"¡Has aprobado!","Inténtalo nuevamente")</f>
        <v>¡Has aprobado!</v>
      </c>
      <c r="C666" s="30"/>
      <c r="D666" s="30"/>
      <c r="E666" s="30"/>
      <c r="F666" s="30"/>
      <c r="G666" s="30"/>
      <c r="H666" s="29"/>
      <c r="I666" s="27"/>
    </row>
    <row r="667" spans="1:26" x14ac:dyDescent="0.2">
      <c r="A667" s="27"/>
      <c r="B667" s="27"/>
      <c r="C667" s="27"/>
      <c r="D667" s="27"/>
      <c r="E667" s="27"/>
      <c r="F667" s="27"/>
      <c r="G667" s="27"/>
      <c r="H667" s="27"/>
      <c r="I667" s="27"/>
    </row>
  </sheetData>
  <mergeCells count="534">
    <mergeCell ref="M571:Z580"/>
    <mergeCell ref="M612:Z621"/>
    <mergeCell ref="M653:Z661"/>
    <mergeCell ref="M500:Z509"/>
    <mergeCell ref="M551:Z559"/>
    <mergeCell ref="M561:Z569"/>
    <mergeCell ref="M582:Z590"/>
    <mergeCell ref="M592:Z600"/>
    <mergeCell ref="M602:Z610"/>
    <mergeCell ref="M623:Z631"/>
    <mergeCell ref="M633:Z641"/>
    <mergeCell ref="M643:Z651"/>
    <mergeCell ref="M479:Z487"/>
    <mergeCell ref="M511:Z519"/>
    <mergeCell ref="M521:Z529"/>
    <mergeCell ref="M531:Z539"/>
    <mergeCell ref="M541:Z549"/>
    <mergeCell ref="M397:Z406"/>
    <mergeCell ref="M428:Z437"/>
    <mergeCell ref="M489:Z498"/>
    <mergeCell ref="M469:Z477"/>
    <mergeCell ref="M337:Z345"/>
    <mergeCell ref="M347:Z355"/>
    <mergeCell ref="M357:Z365"/>
    <mergeCell ref="M367:Z375"/>
    <mergeCell ref="M377:Z385"/>
    <mergeCell ref="M387:Z395"/>
    <mergeCell ref="M408:Z416"/>
    <mergeCell ref="M418:Z426"/>
    <mergeCell ref="M439:Z447"/>
    <mergeCell ref="M297:Z305"/>
    <mergeCell ref="M307:Z315"/>
    <mergeCell ref="M317:Z325"/>
    <mergeCell ref="M327:Z335"/>
    <mergeCell ref="M449:Z457"/>
    <mergeCell ref="M459:Z467"/>
    <mergeCell ref="M154:Z162"/>
    <mergeCell ref="M236:Z244"/>
    <mergeCell ref="M246:Z254"/>
    <mergeCell ref="M256:Z264"/>
    <mergeCell ref="M277:Z285"/>
    <mergeCell ref="M287:Z295"/>
    <mergeCell ref="M225:Z234"/>
    <mergeCell ref="M266:Z275"/>
    <mergeCell ref="M74:Z82"/>
    <mergeCell ref="M84:Z92"/>
    <mergeCell ref="M94:Z102"/>
    <mergeCell ref="M104:Z112"/>
    <mergeCell ref="M114:Z122"/>
    <mergeCell ref="M124:Z132"/>
    <mergeCell ref="M134:Z142"/>
    <mergeCell ref="M144:Z152"/>
    <mergeCell ref="M164:Z172"/>
    <mergeCell ref="M174:Z182"/>
    <mergeCell ref="M184:Z192"/>
    <mergeCell ref="M194:Z202"/>
    <mergeCell ref="M204:Z212"/>
    <mergeCell ref="M214:Z223"/>
    <mergeCell ref="A11:H11"/>
    <mergeCell ref="A12:I15"/>
    <mergeCell ref="B16:H16"/>
    <mergeCell ref="K16:K20"/>
    <mergeCell ref="B17:H17"/>
    <mergeCell ref="B18:H18"/>
    <mergeCell ref="B19:H19"/>
    <mergeCell ref="B20:H20"/>
    <mergeCell ref="M53:Z62"/>
    <mergeCell ref="M64:Z72"/>
    <mergeCell ref="A22:H22"/>
    <mergeCell ref="A23:I26"/>
    <mergeCell ref="B27:H27"/>
    <mergeCell ref="K27:K30"/>
    <mergeCell ref="B28:H28"/>
    <mergeCell ref="B29:H29"/>
    <mergeCell ref="B30:H30"/>
    <mergeCell ref="A1:H1"/>
    <mergeCell ref="A2:I5"/>
    <mergeCell ref="B6:H6"/>
    <mergeCell ref="K6:K9"/>
    <mergeCell ref="B7:H7"/>
    <mergeCell ref="B8:H8"/>
    <mergeCell ref="B9:H9"/>
    <mergeCell ref="A32:H32"/>
    <mergeCell ref="A33:I36"/>
    <mergeCell ref="B37:H37"/>
    <mergeCell ref="K37:K41"/>
    <mergeCell ref="B38:H38"/>
    <mergeCell ref="B39:H39"/>
    <mergeCell ref="B40:H40"/>
    <mergeCell ref="B41:H41"/>
    <mergeCell ref="A43:H43"/>
    <mergeCell ref="A44:I47"/>
    <mergeCell ref="B48:H48"/>
    <mergeCell ref="K48:K51"/>
    <mergeCell ref="B49:H49"/>
    <mergeCell ref="B50:H50"/>
    <mergeCell ref="B51:H51"/>
    <mergeCell ref="A53:H53"/>
    <mergeCell ref="A54:I57"/>
    <mergeCell ref="B58:H58"/>
    <mergeCell ref="K58:K62"/>
    <mergeCell ref="B59:H59"/>
    <mergeCell ref="B60:H60"/>
    <mergeCell ref="B61:H61"/>
    <mergeCell ref="B62:H62"/>
    <mergeCell ref="A64:H64"/>
    <mergeCell ref="A65:I68"/>
    <mergeCell ref="B69:H69"/>
    <mergeCell ref="K69:K72"/>
    <mergeCell ref="B70:H70"/>
    <mergeCell ref="B71:H71"/>
    <mergeCell ref="B72:H72"/>
    <mergeCell ref="A74:H74"/>
    <mergeCell ref="A75:I78"/>
    <mergeCell ref="B79:H79"/>
    <mergeCell ref="K79:K82"/>
    <mergeCell ref="B80:H80"/>
    <mergeCell ref="B81:H81"/>
    <mergeCell ref="B82:H82"/>
    <mergeCell ref="A84:H84"/>
    <mergeCell ref="A85:I88"/>
    <mergeCell ref="B89:H89"/>
    <mergeCell ref="K89:K92"/>
    <mergeCell ref="B90:H90"/>
    <mergeCell ref="B91:H91"/>
    <mergeCell ref="B92:H92"/>
    <mergeCell ref="A94:H94"/>
    <mergeCell ref="A95:I98"/>
    <mergeCell ref="B99:H99"/>
    <mergeCell ref="K99:K102"/>
    <mergeCell ref="B100:H100"/>
    <mergeCell ref="B101:H101"/>
    <mergeCell ref="B102:H102"/>
    <mergeCell ref="A104:H104"/>
    <mergeCell ref="A105:I108"/>
    <mergeCell ref="B109:H109"/>
    <mergeCell ref="K109:K112"/>
    <mergeCell ref="B110:H110"/>
    <mergeCell ref="B111:H111"/>
    <mergeCell ref="B112:H112"/>
    <mergeCell ref="A114:H114"/>
    <mergeCell ref="A115:I118"/>
    <mergeCell ref="B119:H119"/>
    <mergeCell ref="K119:K122"/>
    <mergeCell ref="B120:H120"/>
    <mergeCell ref="B121:H121"/>
    <mergeCell ref="B122:H122"/>
    <mergeCell ref="A124:H124"/>
    <mergeCell ref="A125:I128"/>
    <mergeCell ref="B129:H129"/>
    <mergeCell ref="K129:K132"/>
    <mergeCell ref="B130:H130"/>
    <mergeCell ref="B131:H131"/>
    <mergeCell ref="B132:H132"/>
    <mergeCell ref="A134:H134"/>
    <mergeCell ref="A135:I138"/>
    <mergeCell ref="B139:H139"/>
    <mergeCell ref="K139:K142"/>
    <mergeCell ref="B140:H140"/>
    <mergeCell ref="B141:H141"/>
    <mergeCell ref="B142:H142"/>
    <mergeCell ref="A144:H144"/>
    <mergeCell ref="A145:I148"/>
    <mergeCell ref="B149:H149"/>
    <mergeCell ref="K149:K152"/>
    <mergeCell ref="B150:H150"/>
    <mergeCell ref="B151:H151"/>
    <mergeCell ref="B152:H152"/>
    <mergeCell ref="A154:H154"/>
    <mergeCell ref="A155:I158"/>
    <mergeCell ref="B159:H159"/>
    <mergeCell ref="K159:K162"/>
    <mergeCell ref="B160:H160"/>
    <mergeCell ref="B161:H161"/>
    <mergeCell ref="B162:H162"/>
    <mergeCell ref="A164:H164"/>
    <mergeCell ref="A165:I168"/>
    <mergeCell ref="B169:H169"/>
    <mergeCell ref="K169:K172"/>
    <mergeCell ref="B170:H170"/>
    <mergeCell ref="B171:H171"/>
    <mergeCell ref="B172:H172"/>
    <mergeCell ref="A174:H174"/>
    <mergeCell ref="A175:I178"/>
    <mergeCell ref="B179:H179"/>
    <mergeCell ref="K179:K182"/>
    <mergeCell ref="B180:H180"/>
    <mergeCell ref="B181:H181"/>
    <mergeCell ref="B182:H182"/>
    <mergeCell ref="A184:H184"/>
    <mergeCell ref="A185:I188"/>
    <mergeCell ref="B189:H189"/>
    <mergeCell ref="K189:K192"/>
    <mergeCell ref="B190:H190"/>
    <mergeCell ref="B191:H191"/>
    <mergeCell ref="B192:H192"/>
    <mergeCell ref="A194:H194"/>
    <mergeCell ref="A195:I198"/>
    <mergeCell ref="B199:H199"/>
    <mergeCell ref="K199:K202"/>
    <mergeCell ref="B200:H200"/>
    <mergeCell ref="B201:H201"/>
    <mergeCell ref="B202:H202"/>
    <mergeCell ref="A204:H204"/>
    <mergeCell ref="A205:I208"/>
    <mergeCell ref="B209:H209"/>
    <mergeCell ref="K209:K212"/>
    <mergeCell ref="B210:H210"/>
    <mergeCell ref="B211:H211"/>
    <mergeCell ref="B212:H212"/>
    <mergeCell ref="A214:H214"/>
    <mergeCell ref="A215:I218"/>
    <mergeCell ref="B219:H219"/>
    <mergeCell ref="K219:K223"/>
    <mergeCell ref="B220:H220"/>
    <mergeCell ref="B221:H221"/>
    <mergeCell ref="B222:H222"/>
    <mergeCell ref="B223:H223"/>
    <mergeCell ref="A225:H225"/>
    <mergeCell ref="A226:I229"/>
    <mergeCell ref="B230:H230"/>
    <mergeCell ref="K230:K234"/>
    <mergeCell ref="B231:H231"/>
    <mergeCell ref="B232:H232"/>
    <mergeCell ref="B233:H233"/>
    <mergeCell ref="B234:H234"/>
    <mergeCell ref="A236:H236"/>
    <mergeCell ref="A237:I240"/>
    <mergeCell ref="B241:H241"/>
    <mergeCell ref="K241:K244"/>
    <mergeCell ref="B242:H242"/>
    <mergeCell ref="B243:H243"/>
    <mergeCell ref="B244:H244"/>
    <mergeCell ref="A246:H246"/>
    <mergeCell ref="A247:I250"/>
    <mergeCell ref="B251:H251"/>
    <mergeCell ref="K251:K254"/>
    <mergeCell ref="B252:H252"/>
    <mergeCell ref="B253:H253"/>
    <mergeCell ref="B254:H254"/>
    <mergeCell ref="A256:H256"/>
    <mergeCell ref="A257:I260"/>
    <mergeCell ref="B261:H261"/>
    <mergeCell ref="K261:K264"/>
    <mergeCell ref="B262:H262"/>
    <mergeCell ref="B263:H263"/>
    <mergeCell ref="B264:H264"/>
    <mergeCell ref="A266:H266"/>
    <mergeCell ref="A267:I270"/>
    <mergeCell ref="B271:H271"/>
    <mergeCell ref="K271:K275"/>
    <mergeCell ref="B272:H272"/>
    <mergeCell ref="B273:H273"/>
    <mergeCell ref="B274:H274"/>
    <mergeCell ref="B275:H275"/>
    <mergeCell ref="A277:H277"/>
    <mergeCell ref="A278:I281"/>
    <mergeCell ref="B282:H282"/>
    <mergeCell ref="K282:K285"/>
    <mergeCell ref="B283:H283"/>
    <mergeCell ref="B284:H284"/>
    <mergeCell ref="B285:H285"/>
    <mergeCell ref="A287:H287"/>
    <mergeCell ref="A288:I291"/>
    <mergeCell ref="B292:H292"/>
    <mergeCell ref="K292:K295"/>
    <mergeCell ref="B293:H293"/>
    <mergeCell ref="B294:H294"/>
    <mergeCell ref="B295:H295"/>
    <mergeCell ref="A297:H297"/>
    <mergeCell ref="A298:I301"/>
    <mergeCell ref="B302:H302"/>
    <mergeCell ref="K302:K305"/>
    <mergeCell ref="B303:H303"/>
    <mergeCell ref="B304:H304"/>
    <mergeCell ref="B305:H305"/>
    <mergeCell ref="A307:H307"/>
    <mergeCell ref="A308:I311"/>
    <mergeCell ref="B312:H312"/>
    <mergeCell ref="K312:K315"/>
    <mergeCell ref="B313:H313"/>
    <mergeCell ref="B314:H314"/>
    <mergeCell ref="B315:H315"/>
    <mergeCell ref="A317:H317"/>
    <mergeCell ref="A318:I321"/>
    <mergeCell ref="B322:H322"/>
    <mergeCell ref="K322:K325"/>
    <mergeCell ref="B323:H323"/>
    <mergeCell ref="B324:H324"/>
    <mergeCell ref="B325:H325"/>
    <mergeCell ref="A327:H327"/>
    <mergeCell ref="A328:I331"/>
    <mergeCell ref="B332:H332"/>
    <mergeCell ref="K332:K335"/>
    <mergeCell ref="B333:H333"/>
    <mergeCell ref="B334:H334"/>
    <mergeCell ref="B335:H335"/>
    <mergeCell ref="A337:H337"/>
    <mergeCell ref="A338:I341"/>
    <mergeCell ref="B342:H342"/>
    <mergeCell ref="K342:K345"/>
    <mergeCell ref="B343:H343"/>
    <mergeCell ref="B344:H344"/>
    <mergeCell ref="B345:H345"/>
    <mergeCell ref="A347:H347"/>
    <mergeCell ref="A348:I351"/>
    <mergeCell ref="B352:H352"/>
    <mergeCell ref="K352:K355"/>
    <mergeCell ref="B353:H353"/>
    <mergeCell ref="B354:H354"/>
    <mergeCell ref="B355:H355"/>
    <mergeCell ref="A357:H357"/>
    <mergeCell ref="A358:I361"/>
    <mergeCell ref="B362:H362"/>
    <mergeCell ref="K362:K365"/>
    <mergeCell ref="B363:H363"/>
    <mergeCell ref="B364:H364"/>
    <mergeCell ref="B365:H365"/>
    <mergeCell ref="A367:H367"/>
    <mergeCell ref="A368:I371"/>
    <mergeCell ref="B372:H372"/>
    <mergeCell ref="K372:K375"/>
    <mergeCell ref="B373:H373"/>
    <mergeCell ref="B374:H374"/>
    <mergeCell ref="B375:H375"/>
    <mergeCell ref="A377:H377"/>
    <mergeCell ref="A378:I381"/>
    <mergeCell ref="B382:H382"/>
    <mergeCell ref="K382:K385"/>
    <mergeCell ref="B383:H383"/>
    <mergeCell ref="B384:H384"/>
    <mergeCell ref="B385:H385"/>
    <mergeCell ref="A387:H387"/>
    <mergeCell ref="A388:I391"/>
    <mergeCell ref="B392:H392"/>
    <mergeCell ref="K392:K395"/>
    <mergeCell ref="B393:H393"/>
    <mergeCell ref="B394:H394"/>
    <mergeCell ref="B395:H395"/>
    <mergeCell ref="A397:H397"/>
    <mergeCell ref="A398:I401"/>
    <mergeCell ref="B402:H402"/>
    <mergeCell ref="K402:K406"/>
    <mergeCell ref="B403:H403"/>
    <mergeCell ref="B404:H404"/>
    <mergeCell ref="B405:H405"/>
    <mergeCell ref="B406:H406"/>
    <mergeCell ref="A408:H408"/>
    <mergeCell ref="A409:I412"/>
    <mergeCell ref="B413:H413"/>
    <mergeCell ref="K413:K416"/>
    <mergeCell ref="B414:H414"/>
    <mergeCell ref="B415:H415"/>
    <mergeCell ref="B416:H416"/>
    <mergeCell ref="A418:H418"/>
    <mergeCell ref="A419:I422"/>
    <mergeCell ref="B423:H423"/>
    <mergeCell ref="K423:K426"/>
    <mergeCell ref="B424:H424"/>
    <mergeCell ref="B425:H425"/>
    <mergeCell ref="B426:H426"/>
    <mergeCell ref="A428:H428"/>
    <mergeCell ref="A429:I432"/>
    <mergeCell ref="B433:H433"/>
    <mergeCell ref="K433:K437"/>
    <mergeCell ref="B434:H434"/>
    <mergeCell ref="B435:H435"/>
    <mergeCell ref="B436:H436"/>
    <mergeCell ref="B437:H437"/>
    <mergeCell ref="A439:H439"/>
    <mergeCell ref="A440:I443"/>
    <mergeCell ref="B444:H444"/>
    <mergeCell ref="K444:K447"/>
    <mergeCell ref="B445:H445"/>
    <mergeCell ref="B446:H446"/>
    <mergeCell ref="B447:H447"/>
    <mergeCell ref="A449:H449"/>
    <mergeCell ref="A450:I453"/>
    <mergeCell ref="B454:H454"/>
    <mergeCell ref="K454:K457"/>
    <mergeCell ref="B455:H455"/>
    <mergeCell ref="B456:H456"/>
    <mergeCell ref="B457:H457"/>
    <mergeCell ref="A459:H459"/>
    <mergeCell ref="A460:I463"/>
    <mergeCell ref="B464:H464"/>
    <mergeCell ref="K464:K467"/>
    <mergeCell ref="B465:H465"/>
    <mergeCell ref="B466:H466"/>
    <mergeCell ref="B467:H467"/>
    <mergeCell ref="A469:H469"/>
    <mergeCell ref="A470:I473"/>
    <mergeCell ref="B474:H474"/>
    <mergeCell ref="K474:K477"/>
    <mergeCell ref="B475:H475"/>
    <mergeCell ref="B476:H476"/>
    <mergeCell ref="B477:H477"/>
    <mergeCell ref="A479:H479"/>
    <mergeCell ref="A480:I483"/>
    <mergeCell ref="B484:H484"/>
    <mergeCell ref="K484:K487"/>
    <mergeCell ref="B485:H485"/>
    <mergeCell ref="B486:H486"/>
    <mergeCell ref="B487:H487"/>
    <mergeCell ref="A489:H489"/>
    <mergeCell ref="A490:I493"/>
    <mergeCell ref="B494:H494"/>
    <mergeCell ref="K494:K498"/>
    <mergeCell ref="B495:H495"/>
    <mergeCell ref="B496:H496"/>
    <mergeCell ref="B497:H497"/>
    <mergeCell ref="B498:H498"/>
    <mergeCell ref="A500:H500"/>
    <mergeCell ref="A501:I504"/>
    <mergeCell ref="B505:H505"/>
    <mergeCell ref="K505:K509"/>
    <mergeCell ref="B506:H506"/>
    <mergeCell ref="B507:H507"/>
    <mergeCell ref="B508:H508"/>
    <mergeCell ref="B509:H509"/>
    <mergeCell ref="A511:H511"/>
    <mergeCell ref="A512:I515"/>
    <mergeCell ref="B516:H516"/>
    <mergeCell ref="K516:K519"/>
    <mergeCell ref="B517:H517"/>
    <mergeCell ref="B518:H518"/>
    <mergeCell ref="B519:H519"/>
    <mergeCell ref="A521:H521"/>
    <mergeCell ref="A522:I525"/>
    <mergeCell ref="B526:H526"/>
    <mergeCell ref="K526:K529"/>
    <mergeCell ref="B527:H527"/>
    <mergeCell ref="B528:H528"/>
    <mergeCell ref="B529:H529"/>
    <mergeCell ref="A531:H531"/>
    <mergeCell ref="A532:I535"/>
    <mergeCell ref="B536:H536"/>
    <mergeCell ref="K536:K539"/>
    <mergeCell ref="B537:H537"/>
    <mergeCell ref="B538:H538"/>
    <mergeCell ref="B539:H539"/>
    <mergeCell ref="A541:H541"/>
    <mergeCell ref="A542:I545"/>
    <mergeCell ref="B546:H546"/>
    <mergeCell ref="K546:K549"/>
    <mergeCell ref="B547:H547"/>
    <mergeCell ref="B548:H548"/>
    <mergeCell ref="B549:H549"/>
    <mergeCell ref="A551:H551"/>
    <mergeCell ref="A552:I555"/>
    <mergeCell ref="B556:H556"/>
    <mergeCell ref="K556:K559"/>
    <mergeCell ref="B557:H557"/>
    <mergeCell ref="B558:H558"/>
    <mergeCell ref="B559:H559"/>
    <mergeCell ref="A561:H561"/>
    <mergeCell ref="A562:I565"/>
    <mergeCell ref="B566:H566"/>
    <mergeCell ref="K566:K569"/>
    <mergeCell ref="B567:H567"/>
    <mergeCell ref="B568:H568"/>
    <mergeCell ref="B569:H569"/>
    <mergeCell ref="A571:H571"/>
    <mergeCell ref="A572:I575"/>
    <mergeCell ref="B576:H576"/>
    <mergeCell ref="K576:K580"/>
    <mergeCell ref="B577:H577"/>
    <mergeCell ref="B578:H578"/>
    <mergeCell ref="B579:H579"/>
    <mergeCell ref="B580:H580"/>
    <mergeCell ref="A582:H582"/>
    <mergeCell ref="A583:I586"/>
    <mergeCell ref="B587:H587"/>
    <mergeCell ref="K587:K590"/>
    <mergeCell ref="B588:H588"/>
    <mergeCell ref="B589:H589"/>
    <mergeCell ref="B590:H590"/>
    <mergeCell ref="A592:H592"/>
    <mergeCell ref="A593:I596"/>
    <mergeCell ref="B597:H597"/>
    <mergeCell ref="K597:K600"/>
    <mergeCell ref="B598:H598"/>
    <mergeCell ref="B599:H599"/>
    <mergeCell ref="B600:H600"/>
    <mergeCell ref="A602:H602"/>
    <mergeCell ref="A603:I606"/>
    <mergeCell ref="B607:H607"/>
    <mergeCell ref="K607:K610"/>
    <mergeCell ref="B608:H608"/>
    <mergeCell ref="B609:H609"/>
    <mergeCell ref="B610:H610"/>
    <mergeCell ref="A612:H612"/>
    <mergeCell ref="A613:I616"/>
    <mergeCell ref="B617:H617"/>
    <mergeCell ref="K617:K621"/>
    <mergeCell ref="B618:H618"/>
    <mergeCell ref="B619:H619"/>
    <mergeCell ref="B620:H620"/>
    <mergeCell ref="B621:H621"/>
    <mergeCell ref="A623:H623"/>
    <mergeCell ref="A624:I627"/>
    <mergeCell ref="B628:H628"/>
    <mergeCell ref="K628:K631"/>
    <mergeCell ref="B629:H629"/>
    <mergeCell ref="B630:H630"/>
    <mergeCell ref="B631:H631"/>
    <mergeCell ref="B651:H651"/>
    <mergeCell ref="A633:H633"/>
    <mergeCell ref="A634:I637"/>
    <mergeCell ref="B638:H638"/>
    <mergeCell ref="K638:K641"/>
    <mergeCell ref="B639:H639"/>
    <mergeCell ref="B640:H640"/>
    <mergeCell ref="B641:H641"/>
    <mergeCell ref="K658:K661"/>
    <mergeCell ref="B659:H659"/>
    <mergeCell ref="B660:H660"/>
    <mergeCell ref="B661:H661"/>
    <mergeCell ref="A643:H643"/>
    <mergeCell ref="A644:I647"/>
    <mergeCell ref="B648:H648"/>
    <mergeCell ref="K648:K651"/>
    <mergeCell ref="B649:H649"/>
    <mergeCell ref="B650:H650"/>
    <mergeCell ref="B664:E665"/>
    <mergeCell ref="B666:G666"/>
    <mergeCell ref="M1:Z9"/>
    <mergeCell ref="M11:Z20"/>
    <mergeCell ref="M22:Z30"/>
    <mergeCell ref="M32:Z41"/>
    <mergeCell ref="M43:Z51"/>
    <mergeCell ref="A653:H653"/>
    <mergeCell ref="A654:I657"/>
    <mergeCell ref="B658:H65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5"/>
  <sheetViews>
    <sheetView tabSelected="1" topLeftCell="A2" workbookViewId="0">
      <selection sqref="A1:C1"/>
    </sheetView>
  </sheetViews>
  <sheetFormatPr baseColWidth="10" defaultColWidth="9.1640625" defaultRowHeight="15" x14ac:dyDescent="0.2"/>
  <cols>
    <col min="1" max="1" width="3.6640625" style="3" customWidth="1"/>
    <col min="2" max="2" width="5.6640625" style="3" customWidth="1"/>
    <col min="3" max="3" width="58.5" style="8" customWidth="1"/>
    <col min="4" max="4" width="7" style="2" hidden="1" customWidth="1"/>
    <col min="5" max="5" width="9.6640625" style="2" customWidth="1"/>
    <col min="6" max="6" width="14.33203125" style="2" customWidth="1"/>
    <col min="7" max="7" width="3.6640625" style="2" customWidth="1"/>
    <col min="8" max="8" width="136.1640625" style="3" customWidth="1"/>
    <col min="9" max="16384" width="9.1640625" style="2"/>
  </cols>
  <sheetData>
    <row r="1" spans="1:8" x14ac:dyDescent="0.2">
      <c r="A1" s="20" t="s">
        <v>24</v>
      </c>
      <c r="B1" s="20"/>
      <c r="C1" s="20"/>
      <c r="D1" s="5"/>
      <c r="E1" s="4" t="s">
        <v>26</v>
      </c>
      <c r="F1" s="4" t="s">
        <v>25</v>
      </c>
      <c r="H1" s="4" t="s">
        <v>424</v>
      </c>
    </row>
    <row r="2" spans="1:8" ht="29.25" customHeight="1" x14ac:dyDescent="0.2">
      <c r="A2" s="3">
        <v>1</v>
      </c>
      <c r="B2" s="18" t="s">
        <v>44</v>
      </c>
      <c r="C2" s="18"/>
      <c r="D2" s="18"/>
      <c r="E2" s="18"/>
      <c r="F2" s="18"/>
    </row>
    <row r="3" spans="1:8" ht="14.25" customHeight="1" x14ac:dyDescent="0.2">
      <c r="A3" s="3">
        <v>1</v>
      </c>
      <c r="B3" s="3" t="s">
        <v>0</v>
      </c>
      <c r="C3" s="6" t="s">
        <v>45</v>
      </c>
      <c r="D3" s="2" t="s">
        <v>8</v>
      </c>
      <c r="F3" s="2" t="b">
        <f>D3=E3</f>
        <v>0</v>
      </c>
      <c r="H3" s="18" t="s">
        <v>49</v>
      </c>
    </row>
    <row r="4" spans="1:8" ht="13.5" customHeight="1" x14ac:dyDescent="0.2">
      <c r="A4" s="3">
        <v>1</v>
      </c>
      <c r="B4" s="3" t="s">
        <v>1</v>
      </c>
      <c r="C4" s="6" t="s">
        <v>46</v>
      </c>
      <c r="D4" s="2" t="s">
        <v>7</v>
      </c>
      <c r="F4" s="2" t="b">
        <f t="shared" ref="F4:F5" si="0">D4=E4</f>
        <v>0</v>
      </c>
      <c r="H4" s="19"/>
    </row>
    <row r="5" spans="1:8" ht="12" customHeight="1" x14ac:dyDescent="0.2">
      <c r="A5" s="3">
        <v>1</v>
      </c>
      <c r="B5" s="3" t="s">
        <v>2</v>
      </c>
      <c r="C5" s="6" t="s">
        <v>47</v>
      </c>
      <c r="D5" s="2" t="s">
        <v>7</v>
      </c>
      <c r="F5" s="2" t="b">
        <f t="shared" si="0"/>
        <v>0</v>
      </c>
      <c r="H5" s="19"/>
    </row>
    <row r="6" spans="1:8" ht="15" customHeight="1" x14ac:dyDescent="0.2">
      <c r="A6" s="3">
        <v>1</v>
      </c>
      <c r="B6" s="3" t="s">
        <v>3</v>
      </c>
      <c r="C6" s="6" t="s">
        <v>48</v>
      </c>
      <c r="D6" s="2" t="s">
        <v>7</v>
      </c>
      <c r="F6" s="2" t="b">
        <f>D6=E6</f>
        <v>0</v>
      </c>
      <c r="H6" s="19"/>
    </row>
    <row r="7" spans="1:8" ht="15" customHeight="1" x14ac:dyDescent="0.2">
      <c r="A7" s="3">
        <v>2</v>
      </c>
      <c r="B7" s="18" t="s">
        <v>50</v>
      </c>
      <c r="C7" s="18"/>
      <c r="D7" s="18"/>
      <c r="E7" s="18"/>
      <c r="F7" s="18"/>
    </row>
    <row r="8" spans="1:8" ht="51.75" customHeight="1" x14ac:dyDescent="0.2">
      <c r="A8" s="3">
        <v>2</v>
      </c>
      <c r="B8" s="3" t="s">
        <v>0</v>
      </c>
      <c r="C8" s="7" t="s">
        <v>51</v>
      </c>
      <c r="D8" s="2" t="s">
        <v>7</v>
      </c>
      <c r="F8" s="2" t="b">
        <f t="shared" ref="F8:F69" si="1">D8=E8</f>
        <v>0</v>
      </c>
      <c r="H8" s="18" t="s">
        <v>55</v>
      </c>
    </row>
    <row r="9" spans="1:8" ht="26" x14ac:dyDescent="0.2">
      <c r="A9" s="3">
        <v>2</v>
      </c>
      <c r="B9" s="3" t="s">
        <v>1</v>
      </c>
      <c r="C9" s="7" t="s">
        <v>52</v>
      </c>
      <c r="D9" s="2" t="s">
        <v>8</v>
      </c>
      <c r="F9" s="2" t="b">
        <f t="shared" si="1"/>
        <v>0</v>
      </c>
      <c r="H9" s="19"/>
    </row>
    <row r="10" spans="1:8" ht="39" x14ac:dyDescent="0.2">
      <c r="A10" s="3">
        <v>2</v>
      </c>
      <c r="B10" s="3" t="s">
        <v>2</v>
      </c>
      <c r="C10" s="7" t="s">
        <v>53</v>
      </c>
      <c r="D10" s="2" t="s">
        <v>7</v>
      </c>
      <c r="F10" s="2" t="b">
        <f t="shared" si="1"/>
        <v>0</v>
      </c>
      <c r="H10" s="19"/>
    </row>
    <row r="11" spans="1:8" ht="52" x14ac:dyDescent="0.2">
      <c r="A11" s="3">
        <v>2</v>
      </c>
      <c r="B11" s="3" t="s">
        <v>3</v>
      </c>
      <c r="C11" s="7" t="s">
        <v>54</v>
      </c>
      <c r="D11" s="2" t="s">
        <v>7</v>
      </c>
      <c r="F11" s="2" t="b">
        <f t="shared" si="1"/>
        <v>0</v>
      </c>
      <c r="H11" s="19"/>
    </row>
    <row r="12" spans="1:8" ht="45.75" customHeight="1" x14ac:dyDescent="0.2">
      <c r="A12" s="3">
        <v>3</v>
      </c>
      <c r="B12" s="18" t="s">
        <v>336</v>
      </c>
      <c r="C12" s="18"/>
      <c r="D12" s="18"/>
      <c r="E12" s="18"/>
      <c r="F12" s="18"/>
    </row>
    <row r="13" spans="1:8" x14ac:dyDescent="0.2">
      <c r="A13" s="3">
        <v>3</v>
      </c>
      <c r="B13" s="3" t="s">
        <v>0</v>
      </c>
      <c r="C13" s="6" t="s">
        <v>19</v>
      </c>
      <c r="D13" s="2" t="s">
        <v>7</v>
      </c>
      <c r="F13" s="2" t="b">
        <f t="shared" si="1"/>
        <v>0</v>
      </c>
      <c r="H13" s="18" t="s">
        <v>337</v>
      </c>
    </row>
    <row r="14" spans="1:8" x14ac:dyDescent="0.2">
      <c r="A14" s="3">
        <v>3</v>
      </c>
      <c r="B14" s="3" t="s">
        <v>1</v>
      </c>
      <c r="C14" s="6" t="s">
        <v>18</v>
      </c>
      <c r="D14" s="2" t="s">
        <v>8</v>
      </c>
      <c r="F14" s="2" t="b">
        <f t="shared" si="1"/>
        <v>0</v>
      </c>
      <c r="H14" s="19"/>
    </row>
    <row r="15" spans="1:8" x14ac:dyDescent="0.2">
      <c r="A15" s="3">
        <v>3</v>
      </c>
      <c r="B15" s="3" t="s">
        <v>2</v>
      </c>
      <c r="C15" s="6" t="s">
        <v>56</v>
      </c>
      <c r="D15" s="2" t="s">
        <v>7</v>
      </c>
      <c r="F15" s="2" t="b">
        <f t="shared" si="1"/>
        <v>0</v>
      </c>
      <c r="H15" s="19"/>
    </row>
    <row r="16" spans="1:8" x14ac:dyDescent="0.2">
      <c r="A16" s="3">
        <v>3</v>
      </c>
      <c r="B16" s="3" t="s">
        <v>3</v>
      </c>
      <c r="C16" s="6" t="s">
        <v>17</v>
      </c>
      <c r="D16" s="2" t="s">
        <v>7</v>
      </c>
      <c r="F16" s="2" t="b">
        <f t="shared" si="1"/>
        <v>0</v>
      </c>
      <c r="H16" s="19"/>
    </row>
    <row r="17" spans="1:8" ht="15" customHeight="1" x14ac:dyDescent="0.2">
      <c r="A17" s="3">
        <v>4</v>
      </c>
      <c r="B17" s="18" t="s">
        <v>57</v>
      </c>
      <c r="C17" s="18"/>
      <c r="D17" s="18"/>
      <c r="E17" s="18"/>
      <c r="F17" s="18"/>
    </row>
    <row r="18" spans="1:8" x14ac:dyDescent="0.2">
      <c r="A18" s="3">
        <v>4</v>
      </c>
      <c r="B18" s="3" t="s">
        <v>0</v>
      </c>
      <c r="C18" s="6" t="s">
        <v>58</v>
      </c>
      <c r="D18" s="2" t="s">
        <v>7</v>
      </c>
      <c r="F18" s="2" t="b">
        <f t="shared" si="1"/>
        <v>0</v>
      </c>
      <c r="H18" s="18" t="s">
        <v>338</v>
      </c>
    </row>
    <row r="19" spans="1:8" x14ac:dyDescent="0.2">
      <c r="A19" s="3">
        <v>4</v>
      </c>
      <c r="B19" s="3" t="s">
        <v>1</v>
      </c>
      <c r="C19" s="6" t="s">
        <v>59</v>
      </c>
      <c r="D19" s="2" t="s">
        <v>7</v>
      </c>
      <c r="F19" s="2" t="b">
        <f t="shared" si="1"/>
        <v>0</v>
      </c>
      <c r="H19" s="19"/>
    </row>
    <row r="20" spans="1:8" x14ac:dyDescent="0.2">
      <c r="A20" s="3">
        <v>4</v>
      </c>
      <c r="B20" s="3" t="s">
        <v>2</v>
      </c>
      <c r="C20" s="6" t="s">
        <v>60</v>
      </c>
      <c r="D20" s="2" t="s">
        <v>8</v>
      </c>
      <c r="F20" s="2" t="b">
        <f t="shared" si="1"/>
        <v>0</v>
      </c>
      <c r="H20" s="19"/>
    </row>
    <row r="21" spans="1:8" x14ac:dyDescent="0.2">
      <c r="A21" s="3">
        <v>4</v>
      </c>
      <c r="B21" s="3" t="s">
        <v>3</v>
      </c>
      <c r="C21" s="6" t="s">
        <v>61</v>
      </c>
      <c r="D21" s="2" t="s">
        <v>7</v>
      </c>
      <c r="F21" s="2" t="b">
        <f t="shared" si="1"/>
        <v>0</v>
      </c>
      <c r="H21" s="19"/>
    </row>
    <row r="22" spans="1:8" ht="15" customHeight="1" x14ac:dyDescent="0.2">
      <c r="A22" s="3">
        <v>5</v>
      </c>
      <c r="B22" s="18" t="s">
        <v>62</v>
      </c>
      <c r="C22" s="18"/>
      <c r="D22" s="18"/>
      <c r="E22" s="18"/>
      <c r="F22" s="18"/>
    </row>
    <row r="23" spans="1:8" x14ac:dyDescent="0.2">
      <c r="A23" s="3">
        <v>5</v>
      </c>
      <c r="B23" s="3" t="s">
        <v>0</v>
      </c>
      <c r="C23" s="6" t="s">
        <v>63</v>
      </c>
      <c r="D23" s="2" t="s">
        <v>8</v>
      </c>
      <c r="F23" s="2" t="b">
        <f t="shared" si="1"/>
        <v>0</v>
      </c>
      <c r="H23" s="18" t="s">
        <v>66</v>
      </c>
    </row>
    <row r="24" spans="1:8" ht="26" x14ac:dyDescent="0.2">
      <c r="A24" s="3">
        <v>5</v>
      </c>
      <c r="B24" s="3" t="s">
        <v>1</v>
      </c>
      <c r="C24" s="7" t="s">
        <v>64</v>
      </c>
      <c r="D24" s="2" t="s">
        <v>7</v>
      </c>
      <c r="F24" s="2" t="b">
        <f t="shared" si="1"/>
        <v>0</v>
      </c>
      <c r="H24" s="19"/>
    </row>
    <row r="25" spans="1:8" x14ac:dyDescent="0.2">
      <c r="A25" s="3">
        <v>5</v>
      </c>
      <c r="B25" s="3" t="s">
        <v>2</v>
      </c>
      <c r="C25" s="6" t="s">
        <v>65</v>
      </c>
      <c r="D25" s="2" t="s">
        <v>7</v>
      </c>
      <c r="F25" s="2" t="b">
        <f t="shared" si="1"/>
        <v>0</v>
      </c>
      <c r="H25" s="19"/>
    </row>
    <row r="26" spans="1:8" x14ac:dyDescent="0.2">
      <c r="A26" s="3">
        <v>5</v>
      </c>
      <c r="B26" s="3" t="s">
        <v>3</v>
      </c>
      <c r="C26" s="6" t="s">
        <v>65</v>
      </c>
      <c r="D26" s="2" t="s">
        <v>7</v>
      </c>
      <c r="F26" s="2" t="b">
        <f t="shared" si="1"/>
        <v>0</v>
      </c>
      <c r="H26" s="19"/>
    </row>
    <row r="27" spans="1:8" ht="28.5" customHeight="1" x14ac:dyDescent="0.2">
      <c r="A27" s="3">
        <v>6</v>
      </c>
      <c r="B27" s="18" t="s">
        <v>340</v>
      </c>
      <c r="C27" s="18"/>
      <c r="D27" s="18"/>
      <c r="E27" s="18"/>
      <c r="F27" s="18"/>
    </row>
    <row r="28" spans="1:8" x14ac:dyDescent="0.2">
      <c r="A28" s="3">
        <v>6</v>
      </c>
      <c r="B28" s="3" t="s">
        <v>0</v>
      </c>
      <c r="C28" s="6" t="s">
        <v>67</v>
      </c>
      <c r="D28" s="2" t="s">
        <v>8</v>
      </c>
      <c r="F28" s="2" t="b">
        <f t="shared" si="1"/>
        <v>0</v>
      </c>
      <c r="H28" s="18" t="s">
        <v>71</v>
      </c>
    </row>
    <row r="29" spans="1:8" x14ac:dyDescent="0.2">
      <c r="A29" s="3">
        <v>6</v>
      </c>
      <c r="B29" s="3" t="s">
        <v>1</v>
      </c>
      <c r="C29" s="6" t="s">
        <v>68</v>
      </c>
      <c r="D29" s="2" t="s">
        <v>7</v>
      </c>
      <c r="F29" s="2" t="b">
        <f t="shared" si="1"/>
        <v>0</v>
      </c>
      <c r="H29" s="19"/>
    </row>
    <row r="30" spans="1:8" x14ac:dyDescent="0.2">
      <c r="A30" s="3">
        <v>6</v>
      </c>
      <c r="B30" s="3" t="s">
        <v>2</v>
      </c>
      <c r="C30" s="6" t="s">
        <v>69</v>
      </c>
      <c r="D30" s="2" t="s">
        <v>7</v>
      </c>
      <c r="F30" s="2" t="b">
        <f t="shared" si="1"/>
        <v>0</v>
      </c>
      <c r="H30" s="19"/>
    </row>
    <row r="31" spans="1:8" x14ac:dyDescent="0.2">
      <c r="A31" s="3">
        <v>6</v>
      </c>
      <c r="B31" s="3" t="s">
        <v>3</v>
      </c>
      <c r="C31" s="6" t="s">
        <v>70</v>
      </c>
      <c r="D31" s="2" t="s">
        <v>7</v>
      </c>
      <c r="F31" s="2" t="b">
        <f t="shared" si="1"/>
        <v>0</v>
      </c>
      <c r="H31" s="19"/>
    </row>
    <row r="32" spans="1:8" ht="41.25" customHeight="1" x14ac:dyDescent="0.2">
      <c r="A32" s="3">
        <v>7</v>
      </c>
      <c r="B32" s="18" t="s">
        <v>339</v>
      </c>
      <c r="C32" s="18"/>
      <c r="D32" s="18"/>
      <c r="E32" s="18"/>
      <c r="F32" s="18"/>
    </row>
    <row r="33" spans="1:8" x14ac:dyDescent="0.2">
      <c r="A33" s="3">
        <v>7</v>
      </c>
      <c r="B33" s="3" t="s">
        <v>0</v>
      </c>
      <c r="C33" s="6" t="s">
        <v>72</v>
      </c>
      <c r="D33" s="2" t="s">
        <v>8</v>
      </c>
      <c r="F33" s="2" t="b">
        <f t="shared" si="1"/>
        <v>0</v>
      </c>
      <c r="H33" s="18" t="s">
        <v>75</v>
      </c>
    </row>
    <row r="34" spans="1:8" x14ac:dyDescent="0.2">
      <c r="A34" s="3">
        <v>7</v>
      </c>
      <c r="B34" s="3" t="s">
        <v>1</v>
      </c>
      <c r="C34" s="6" t="s">
        <v>73</v>
      </c>
      <c r="D34" s="2" t="s">
        <v>7</v>
      </c>
      <c r="F34" s="2" t="b">
        <f t="shared" si="1"/>
        <v>0</v>
      </c>
      <c r="H34" s="19"/>
    </row>
    <row r="35" spans="1:8" x14ac:dyDescent="0.2">
      <c r="A35" s="3">
        <v>7</v>
      </c>
      <c r="B35" s="3" t="s">
        <v>2</v>
      </c>
      <c r="C35" s="6" t="s">
        <v>9</v>
      </c>
      <c r="D35" s="2" t="s">
        <v>7</v>
      </c>
      <c r="F35" s="2" t="b">
        <f t="shared" si="1"/>
        <v>0</v>
      </c>
      <c r="H35" s="19"/>
    </row>
    <row r="36" spans="1:8" x14ac:dyDescent="0.2">
      <c r="A36" s="3">
        <v>7</v>
      </c>
      <c r="B36" s="3" t="s">
        <v>3</v>
      </c>
      <c r="C36" s="6" t="s">
        <v>74</v>
      </c>
      <c r="D36" s="2" t="s">
        <v>7</v>
      </c>
      <c r="F36" s="2" t="b">
        <f t="shared" si="1"/>
        <v>0</v>
      </c>
      <c r="H36" s="19"/>
    </row>
    <row r="37" spans="1:8" ht="35.25" customHeight="1" x14ac:dyDescent="0.2">
      <c r="A37" s="3">
        <v>8</v>
      </c>
      <c r="B37" s="18" t="s">
        <v>341</v>
      </c>
      <c r="C37" s="18"/>
      <c r="D37" s="18"/>
      <c r="E37" s="18"/>
      <c r="F37" s="18"/>
    </row>
    <row r="38" spans="1:8" x14ac:dyDescent="0.2">
      <c r="A38" s="3">
        <v>8</v>
      </c>
      <c r="B38" s="3" t="s">
        <v>0</v>
      </c>
      <c r="C38" s="6" t="s">
        <v>76</v>
      </c>
      <c r="D38" s="2" t="s">
        <v>8</v>
      </c>
      <c r="F38" s="2" t="b">
        <f t="shared" si="1"/>
        <v>0</v>
      </c>
      <c r="H38" s="18" t="s">
        <v>81</v>
      </c>
    </row>
    <row r="39" spans="1:8" x14ac:dyDescent="0.2">
      <c r="A39" s="3">
        <v>8</v>
      </c>
      <c r="B39" s="3" t="s">
        <v>1</v>
      </c>
      <c r="C39" s="6" t="s">
        <v>77</v>
      </c>
      <c r="D39" s="2" t="s">
        <v>7</v>
      </c>
      <c r="F39" s="2" t="b">
        <f t="shared" si="1"/>
        <v>0</v>
      </c>
      <c r="H39" s="19"/>
    </row>
    <row r="40" spans="1:8" x14ac:dyDescent="0.2">
      <c r="A40" s="3">
        <v>8</v>
      </c>
      <c r="B40" s="3" t="s">
        <v>2</v>
      </c>
      <c r="C40" s="6" t="s">
        <v>78</v>
      </c>
      <c r="D40" s="2" t="s">
        <v>7</v>
      </c>
      <c r="F40" s="2" t="b">
        <f t="shared" si="1"/>
        <v>0</v>
      </c>
      <c r="H40" s="19"/>
    </row>
    <row r="41" spans="1:8" x14ac:dyDescent="0.2">
      <c r="A41" s="3">
        <v>8</v>
      </c>
      <c r="B41" s="3" t="s">
        <v>3</v>
      </c>
      <c r="C41" s="6" t="s">
        <v>79</v>
      </c>
      <c r="D41" s="2" t="s">
        <v>7</v>
      </c>
      <c r="F41" s="2" t="b">
        <f t="shared" si="1"/>
        <v>0</v>
      </c>
      <c r="H41" s="19"/>
    </row>
    <row r="42" spans="1:8" ht="31.5" customHeight="1" x14ac:dyDescent="0.2">
      <c r="A42" s="3">
        <v>9</v>
      </c>
      <c r="B42" s="18" t="s">
        <v>342</v>
      </c>
      <c r="C42" s="18"/>
      <c r="D42" s="18"/>
      <c r="E42" s="18"/>
      <c r="F42" s="18"/>
    </row>
    <row r="43" spans="1:8" x14ac:dyDescent="0.2">
      <c r="A43" s="3">
        <v>9</v>
      </c>
      <c r="B43" s="3" t="s">
        <v>0</v>
      </c>
      <c r="C43" s="6" t="s">
        <v>82</v>
      </c>
      <c r="D43" s="2" t="s">
        <v>7</v>
      </c>
      <c r="F43" s="2" t="b">
        <f t="shared" si="1"/>
        <v>0</v>
      </c>
      <c r="H43" s="18" t="s">
        <v>92</v>
      </c>
    </row>
    <row r="44" spans="1:8" x14ac:dyDescent="0.2">
      <c r="A44" s="3">
        <v>9</v>
      </c>
      <c r="B44" s="3" t="s">
        <v>1</v>
      </c>
      <c r="C44" s="6" t="s">
        <v>83</v>
      </c>
      <c r="D44" s="2" t="s">
        <v>7</v>
      </c>
      <c r="F44" s="2" t="b">
        <f t="shared" si="1"/>
        <v>0</v>
      </c>
      <c r="H44" s="19"/>
    </row>
    <row r="45" spans="1:8" x14ac:dyDescent="0.2">
      <c r="A45" s="3">
        <v>9</v>
      </c>
      <c r="B45" s="3" t="s">
        <v>2</v>
      </c>
      <c r="C45" s="6" t="s">
        <v>84</v>
      </c>
      <c r="D45" s="2" t="s">
        <v>7</v>
      </c>
      <c r="F45" s="2" t="b">
        <f t="shared" si="1"/>
        <v>0</v>
      </c>
      <c r="H45" s="19"/>
    </row>
    <row r="46" spans="1:8" x14ac:dyDescent="0.2">
      <c r="A46" s="3">
        <v>9</v>
      </c>
      <c r="B46" s="3" t="s">
        <v>3</v>
      </c>
      <c r="C46" s="6" t="s">
        <v>85</v>
      </c>
      <c r="D46" s="2" t="s">
        <v>8</v>
      </c>
      <c r="F46" s="2" t="b">
        <f t="shared" si="1"/>
        <v>0</v>
      </c>
      <c r="H46" s="19"/>
    </row>
    <row r="47" spans="1:8" ht="15" customHeight="1" x14ac:dyDescent="0.2">
      <c r="A47" s="3">
        <v>10</v>
      </c>
      <c r="B47" s="18" t="s">
        <v>86</v>
      </c>
      <c r="C47" s="18"/>
      <c r="D47" s="18"/>
      <c r="E47" s="18"/>
      <c r="F47" s="18"/>
    </row>
    <row r="48" spans="1:8" x14ac:dyDescent="0.2">
      <c r="A48" s="3">
        <v>10</v>
      </c>
      <c r="C48" s="6" t="s">
        <v>87</v>
      </c>
      <c r="D48" s="2" t="s">
        <v>7</v>
      </c>
      <c r="F48" s="2" t="b">
        <f t="shared" si="1"/>
        <v>0</v>
      </c>
      <c r="H48" s="18" t="s">
        <v>91</v>
      </c>
    </row>
    <row r="49" spans="1:8" x14ac:dyDescent="0.2">
      <c r="A49" s="3">
        <v>10</v>
      </c>
      <c r="C49" s="6" t="s">
        <v>88</v>
      </c>
      <c r="D49" s="2" t="s">
        <v>8</v>
      </c>
      <c r="F49" s="2" t="b">
        <f t="shared" si="1"/>
        <v>0</v>
      </c>
      <c r="H49" s="19"/>
    </row>
    <row r="50" spans="1:8" x14ac:dyDescent="0.2">
      <c r="A50" s="3">
        <v>10</v>
      </c>
      <c r="C50" s="6" t="s">
        <v>89</v>
      </c>
      <c r="D50" s="2" t="s">
        <v>8</v>
      </c>
      <c r="F50" s="2" t="b">
        <f t="shared" si="1"/>
        <v>0</v>
      </c>
      <c r="H50" s="19"/>
    </row>
    <row r="51" spans="1:8" x14ac:dyDescent="0.2">
      <c r="A51" s="3">
        <v>10</v>
      </c>
      <c r="C51" s="6" t="s">
        <v>90</v>
      </c>
      <c r="D51" s="2" t="s">
        <v>7</v>
      </c>
      <c r="F51" s="2" t="b">
        <f t="shared" si="1"/>
        <v>0</v>
      </c>
      <c r="H51" s="19"/>
    </row>
    <row r="52" spans="1:8" ht="63" customHeight="1" x14ac:dyDescent="0.2">
      <c r="A52" s="3">
        <v>11</v>
      </c>
      <c r="B52" s="18" t="s">
        <v>91</v>
      </c>
      <c r="C52" s="18"/>
      <c r="D52" s="18"/>
      <c r="E52" s="18"/>
      <c r="F52" s="18"/>
    </row>
    <row r="53" spans="1:8" x14ac:dyDescent="0.2">
      <c r="A53" s="3">
        <v>11</v>
      </c>
      <c r="B53" s="3" t="s">
        <v>0</v>
      </c>
      <c r="C53" s="6" t="s">
        <v>40</v>
      </c>
      <c r="D53" s="2" t="s">
        <v>7</v>
      </c>
      <c r="F53" s="2" t="b">
        <f t="shared" si="1"/>
        <v>0</v>
      </c>
      <c r="H53" s="18" t="s">
        <v>96</v>
      </c>
    </row>
    <row r="54" spans="1:8" x14ac:dyDescent="0.2">
      <c r="A54" s="3">
        <v>11</v>
      </c>
      <c r="B54" s="3" t="s">
        <v>1</v>
      </c>
      <c r="C54" s="6" t="s">
        <v>93</v>
      </c>
      <c r="D54" s="2" t="s">
        <v>8</v>
      </c>
      <c r="F54" s="2" t="b">
        <f t="shared" si="1"/>
        <v>0</v>
      </c>
      <c r="H54" s="19"/>
    </row>
    <row r="55" spans="1:8" x14ac:dyDescent="0.2">
      <c r="A55" s="3">
        <v>11</v>
      </c>
      <c r="B55" s="3" t="s">
        <v>2</v>
      </c>
      <c r="C55" s="6" t="s">
        <v>94</v>
      </c>
      <c r="D55" s="2" t="s">
        <v>7</v>
      </c>
      <c r="F55" s="2" t="b">
        <f t="shared" si="1"/>
        <v>0</v>
      </c>
      <c r="H55" s="19"/>
    </row>
    <row r="56" spans="1:8" x14ac:dyDescent="0.2">
      <c r="A56" s="3">
        <v>11</v>
      </c>
      <c r="B56" s="3" t="s">
        <v>3</v>
      </c>
      <c r="C56" s="6" t="s">
        <v>95</v>
      </c>
      <c r="D56" s="2" t="s">
        <v>8</v>
      </c>
      <c r="F56" s="2" t="b">
        <f t="shared" si="1"/>
        <v>0</v>
      </c>
      <c r="H56" s="19"/>
    </row>
    <row r="57" spans="1:8" x14ac:dyDescent="0.2">
      <c r="A57" s="3">
        <v>11</v>
      </c>
      <c r="B57" s="3" t="s">
        <v>6</v>
      </c>
      <c r="C57" s="6" t="s">
        <v>15</v>
      </c>
      <c r="D57" s="2" t="s">
        <v>8</v>
      </c>
      <c r="F57" s="2" t="b">
        <f t="shared" si="1"/>
        <v>0</v>
      </c>
      <c r="H57" s="19"/>
    </row>
    <row r="58" spans="1:8" x14ac:dyDescent="0.2">
      <c r="A58" s="3">
        <v>11</v>
      </c>
      <c r="B58" s="3" t="s">
        <v>37</v>
      </c>
      <c r="C58" s="6" t="s">
        <v>39</v>
      </c>
      <c r="D58" s="2" t="s">
        <v>8</v>
      </c>
      <c r="F58" s="2" t="b">
        <f t="shared" si="1"/>
        <v>0</v>
      </c>
      <c r="H58" s="19"/>
    </row>
    <row r="59" spans="1:8" ht="60" customHeight="1" x14ac:dyDescent="0.2">
      <c r="A59" s="3">
        <v>12</v>
      </c>
      <c r="B59" s="18" t="s">
        <v>343</v>
      </c>
      <c r="C59" s="18"/>
      <c r="D59" s="18"/>
      <c r="E59" s="18"/>
      <c r="F59" s="18"/>
    </row>
    <row r="60" spans="1:8" x14ac:dyDescent="0.2">
      <c r="A60" s="3">
        <v>12</v>
      </c>
      <c r="B60" s="3" t="s">
        <v>0</v>
      </c>
      <c r="C60" s="6" t="s">
        <v>33</v>
      </c>
      <c r="D60" s="2" t="s">
        <v>7</v>
      </c>
      <c r="F60" s="2" t="b">
        <f t="shared" si="1"/>
        <v>0</v>
      </c>
      <c r="H60" s="18" t="s">
        <v>100</v>
      </c>
    </row>
    <row r="61" spans="1:8" x14ac:dyDescent="0.2">
      <c r="A61" s="3">
        <v>12</v>
      </c>
      <c r="B61" s="3" t="s">
        <v>1</v>
      </c>
      <c r="C61" s="6" t="s">
        <v>97</v>
      </c>
      <c r="D61" s="2" t="s">
        <v>7</v>
      </c>
      <c r="F61" s="2" t="b">
        <f t="shared" si="1"/>
        <v>0</v>
      </c>
      <c r="H61" s="19"/>
    </row>
    <row r="62" spans="1:8" x14ac:dyDescent="0.2">
      <c r="A62" s="3">
        <v>12</v>
      </c>
      <c r="B62" s="3" t="s">
        <v>2</v>
      </c>
      <c r="C62" s="6" t="s">
        <v>98</v>
      </c>
      <c r="D62" s="2" t="s">
        <v>8</v>
      </c>
      <c r="F62" s="2" t="b">
        <f t="shared" si="1"/>
        <v>0</v>
      </c>
      <c r="H62" s="19"/>
    </row>
    <row r="63" spans="1:8" x14ac:dyDescent="0.2">
      <c r="A63" s="3">
        <v>12</v>
      </c>
      <c r="B63" s="3" t="s">
        <v>3</v>
      </c>
      <c r="C63" s="6" t="s">
        <v>99</v>
      </c>
      <c r="D63" s="2" t="s">
        <v>7</v>
      </c>
      <c r="F63" s="2" t="b">
        <f t="shared" si="1"/>
        <v>0</v>
      </c>
      <c r="H63" s="19"/>
    </row>
    <row r="64" spans="1:8" ht="36" customHeight="1" x14ac:dyDescent="0.2">
      <c r="A64" s="3">
        <v>13</v>
      </c>
      <c r="B64" s="18" t="s">
        <v>344</v>
      </c>
      <c r="C64" s="18"/>
      <c r="D64" s="18"/>
      <c r="E64" s="18"/>
      <c r="F64" s="18"/>
    </row>
    <row r="65" spans="1:8" x14ac:dyDescent="0.2">
      <c r="A65" s="3">
        <v>13</v>
      </c>
      <c r="B65" s="3" t="s">
        <v>0</v>
      </c>
      <c r="C65" s="6" t="s">
        <v>38</v>
      </c>
      <c r="D65" s="2" t="s">
        <v>8</v>
      </c>
      <c r="F65" s="2" t="b">
        <f t="shared" si="1"/>
        <v>0</v>
      </c>
      <c r="H65" s="18" t="s">
        <v>102</v>
      </c>
    </row>
    <row r="66" spans="1:8" x14ac:dyDescent="0.2">
      <c r="A66" s="3">
        <v>13</v>
      </c>
      <c r="B66" s="3" t="s">
        <v>1</v>
      </c>
      <c r="C66" s="6" t="s">
        <v>95</v>
      </c>
      <c r="D66" s="2" t="s">
        <v>7</v>
      </c>
      <c r="F66" s="2" t="b">
        <f t="shared" si="1"/>
        <v>0</v>
      </c>
      <c r="H66" s="19"/>
    </row>
    <row r="67" spans="1:8" x14ac:dyDescent="0.2">
      <c r="A67" s="3">
        <v>13</v>
      </c>
      <c r="B67" s="3" t="s">
        <v>2</v>
      </c>
      <c r="C67" s="6" t="s">
        <v>101</v>
      </c>
      <c r="D67" s="2" t="s">
        <v>7</v>
      </c>
      <c r="F67" s="2" t="b">
        <f t="shared" si="1"/>
        <v>0</v>
      </c>
      <c r="H67" s="19"/>
    </row>
    <row r="68" spans="1:8" x14ac:dyDescent="0.2">
      <c r="A68" s="3">
        <v>13</v>
      </c>
      <c r="B68" s="3" t="s">
        <v>3</v>
      </c>
      <c r="C68" s="6" t="s">
        <v>16</v>
      </c>
      <c r="D68" s="2" t="s">
        <v>7</v>
      </c>
      <c r="F68" s="2" t="b">
        <f t="shared" si="1"/>
        <v>0</v>
      </c>
      <c r="H68" s="19"/>
    </row>
    <row r="69" spans="1:8" x14ac:dyDescent="0.2">
      <c r="A69" s="3">
        <v>13</v>
      </c>
      <c r="B69" s="3" t="s">
        <v>6</v>
      </c>
      <c r="C69" s="6" t="s">
        <v>39</v>
      </c>
      <c r="D69" s="2" t="s">
        <v>8</v>
      </c>
      <c r="F69" s="2" t="b">
        <f t="shared" si="1"/>
        <v>0</v>
      </c>
      <c r="H69" s="19"/>
    </row>
    <row r="70" spans="1:8" ht="69" customHeight="1" x14ac:dyDescent="0.2">
      <c r="A70" s="3">
        <v>14</v>
      </c>
      <c r="B70" s="18" t="s">
        <v>345</v>
      </c>
      <c r="C70" s="18"/>
      <c r="D70" s="18"/>
      <c r="E70" s="18"/>
      <c r="F70" s="18"/>
    </row>
    <row r="71" spans="1:8" x14ac:dyDescent="0.2">
      <c r="A71" s="3">
        <v>14</v>
      </c>
      <c r="B71" s="3" t="s">
        <v>0</v>
      </c>
      <c r="C71" s="6" t="s">
        <v>103</v>
      </c>
      <c r="D71" s="2" t="s">
        <v>7</v>
      </c>
      <c r="F71" s="2" t="b">
        <f t="shared" ref="F71:F134" si="2">D71=E71</f>
        <v>0</v>
      </c>
      <c r="H71" s="18" t="s">
        <v>107</v>
      </c>
    </row>
    <row r="72" spans="1:8" x14ac:dyDescent="0.2">
      <c r="A72" s="3">
        <v>14</v>
      </c>
      <c r="B72" s="3" t="s">
        <v>1</v>
      </c>
      <c r="C72" s="6" t="s">
        <v>104</v>
      </c>
      <c r="D72" s="2" t="s">
        <v>7</v>
      </c>
      <c r="F72" s="2" t="b">
        <f t="shared" si="2"/>
        <v>0</v>
      </c>
      <c r="H72" s="19"/>
    </row>
    <row r="73" spans="1:8" x14ac:dyDescent="0.2">
      <c r="A73" s="3">
        <v>14</v>
      </c>
      <c r="B73" s="3" t="s">
        <v>2</v>
      </c>
      <c r="C73" s="6" t="s">
        <v>105</v>
      </c>
      <c r="D73" s="2" t="s">
        <v>7</v>
      </c>
      <c r="F73" s="2" t="b">
        <f t="shared" si="2"/>
        <v>0</v>
      </c>
      <c r="H73" s="19"/>
    </row>
    <row r="74" spans="1:8" x14ac:dyDescent="0.2">
      <c r="A74" s="3">
        <v>14</v>
      </c>
      <c r="B74" s="3" t="s">
        <v>3</v>
      </c>
      <c r="C74" s="6" t="s">
        <v>106</v>
      </c>
      <c r="D74" s="2" t="s">
        <v>8</v>
      </c>
      <c r="F74" s="2" t="b">
        <f t="shared" si="2"/>
        <v>0</v>
      </c>
      <c r="H74" s="19"/>
    </row>
    <row r="75" spans="1:8" ht="15" customHeight="1" x14ac:dyDescent="0.2">
      <c r="A75" s="3">
        <v>15</v>
      </c>
      <c r="B75" s="18" t="s">
        <v>108</v>
      </c>
      <c r="C75" s="18"/>
      <c r="D75" s="18"/>
      <c r="E75" s="18"/>
      <c r="F75" s="18"/>
    </row>
    <row r="76" spans="1:8" x14ac:dyDescent="0.2">
      <c r="A76" s="3">
        <v>15</v>
      </c>
      <c r="B76" s="3" t="s">
        <v>0</v>
      </c>
      <c r="C76" s="6" t="s">
        <v>109</v>
      </c>
      <c r="D76" s="2" t="s">
        <v>7</v>
      </c>
      <c r="F76" s="2" t="b">
        <f t="shared" si="2"/>
        <v>0</v>
      </c>
      <c r="H76" s="18" t="s">
        <v>112</v>
      </c>
    </row>
    <row r="77" spans="1:8" x14ac:dyDescent="0.2">
      <c r="A77" s="3">
        <v>15</v>
      </c>
      <c r="B77" s="3" t="s">
        <v>1</v>
      </c>
      <c r="C77" s="6" t="s">
        <v>110</v>
      </c>
      <c r="D77" s="2" t="s">
        <v>7</v>
      </c>
      <c r="F77" s="2" t="b">
        <f t="shared" si="2"/>
        <v>0</v>
      </c>
      <c r="H77" s="19"/>
    </row>
    <row r="78" spans="1:8" x14ac:dyDescent="0.2">
      <c r="A78" s="3">
        <v>15</v>
      </c>
      <c r="B78" s="3" t="s">
        <v>2</v>
      </c>
      <c r="C78" s="6" t="s">
        <v>111</v>
      </c>
      <c r="D78" s="2" t="s">
        <v>8</v>
      </c>
      <c r="F78" s="2" t="b">
        <f t="shared" si="2"/>
        <v>0</v>
      </c>
      <c r="H78" s="19"/>
    </row>
    <row r="79" spans="1:8" x14ac:dyDescent="0.2">
      <c r="A79" s="3">
        <v>15</v>
      </c>
      <c r="B79" s="3" t="s">
        <v>3</v>
      </c>
      <c r="C79" s="6" t="s">
        <v>28</v>
      </c>
      <c r="D79" s="2" t="s">
        <v>7</v>
      </c>
      <c r="F79" s="2" t="b">
        <f t="shared" si="2"/>
        <v>0</v>
      </c>
      <c r="H79" s="19"/>
    </row>
    <row r="80" spans="1:8" ht="30.75" customHeight="1" x14ac:dyDescent="0.2">
      <c r="A80" s="3">
        <v>16</v>
      </c>
      <c r="B80" s="18" t="s">
        <v>113</v>
      </c>
      <c r="C80" s="18"/>
      <c r="D80" s="18"/>
      <c r="E80" s="18"/>
      <c r="F80" s="18"/>
    </row>
    <row r="81" spans="1:8" x14ac:dyDescent="0.2">
      <c r="A81" s="3">
        <v>16</v>
      </c>
      <c r="B81" s="3" t="s">
        <v>0</v>
      </c>
      <c r="C81" s="6" t="s">
        <v>5</v>
      </c>
      <c r="D81" s="2" t="s">
        <v>8</v>
      </c>
      <c r="F81" s="2" t="b">
        <f t="shared" si="2"/>
        <v>0</v>
      </c>
      <c r="H81" s="18" t="s">
        <v>116</v>
      </c>
    </row>
    <row r="82" spans="1:8" x14ac:dyDescent="0.2">
      <c r="A82" s="3">
        <v>16</v>
      </c>
      <c r="B82" s="3" t="s">
        <v>1</v>
      </c>
      <c r="C82" s="6" t="s">
        <v>41</v>
      </c>
      <c r="D82" s="2" t="s">
        <v>7</v>
      </c>
      <c r="F82" s="2" t="b">
        <f t="shared" si="2"/>
        <v>0</v>
      </c>
      <c r="H82" s="19"/>
    </row>
    <row r="83" spans="1:8" x14ac:dyDescent="0.2">
      <c r="A83" s="3">
        <v>16</v>
      </c>
      <c r="B83" s="3" t="s">
        <v>2</v>
      </c>
      <c r="C83" s="6" t="s">
        <v>36</v>
      </c>
      <c r="D83" s="2" t="s">
        <v>7</v>
      </c>
      <c r="F83" s="2" t="b">
        <f t="shared" si="2"/>
        <v>0</v>
      </c>
      <c r="H83" s="19"/>
    </row>
    <row r="84" spans="1:8" x14ac:dyDescent="0.2">
      <c r="A84" s="3">
        <v>16</v>
      </c>
      <c r="B84" s="3" t="s">
        <v>3</v>
      </c>
      <c r="C84" s="6" t="s">
        <v>114</v>
      </c>
      <c r="D84" s="2" t="s">
        <v>7</v>
      </c>
      <c r="F84" s="2" t="b">
        <f t="shared" si="2"/>
        <v>0</v>
      </c>
      <c r="H84" s="19"/>
    </row>
    <row r="85" spans="1:8" ht="37.5" customHeight="1" x14ac:dyDescent="0.2">
      <c r="A85" s="3">
        <v>17</v>
      </c>
      <c r="B85" s="18" t="s">
        <v>346</v>
      </c>
      <c r="C85" s="18"/>
      <c r="D85" s="18"/>
      <c r="E85" s="18"/>
      <c r="F85" s="18"/>
    </row>
    <row r="86" spans="1:8" ht="26" x14ac:dyDescent="0.2">
      <c r="A86" s="3">
        <v>17</v>
      </c>
      <c r="B86" s="3" t="s">
        <v>0</v>
      </c>
      <c r="C86" s="7" t="s">
        <v>115</v>
      </c>
      <c r="D86" s="2" t="s">
        <v>7</v>
      </c>
      <c r="F86" s="2" t="b">
        <f t="shared" si="2"/>
        <v>0</v>
      </c>
      <c r="H86" s="18" t="s">
        <v>121</v>
      </c>
    </row>
    <row r="87" spans="1:8" ht="26" x14ac:dyDescent="0.2">
      <c r="A87" s="3">
        <v>17</v>
      </c>
      <c r="B87" s="3" t="s">
        <v>1</v>
      </c>
      <c r="C87" s="7" t="s">
        <v>117</v>
      </c>
      <c r="D87" s="2" t="s">
        <v>8</v>
      </c>
      <c r="F87" s="2" t="b">
        <f t="shared" si="2"/>
        <v>0</v>
      </c>
      <c r="H87" s="19"/>
    </row>
    <row r="88" spans="1:8" ht="26" x14ac:dyDescent="0.2">
      <c r="A88" s="3">
        <v>17</v>
      </c>
      <c r="B88" s="3" t="s">
        <v>2</v>
      </c>
      <c r="C88" s="7" t="s">
        <v>118</v>
      </c>
      <c r="D88" s="2" t="s">
        <v>7</v>
      </c>
      <c r="F88" s="2" t="b">
        <f t="shared" si="2"/>
        <v>0</v>
      </c>
      <c r="H88" s="19"/>
    </row>
    <row r="89" spans="1:8" ht="26" x14ac:dyDescent="0.2">
      <c r="A89" s="3">
        <v>17</v>
      </c>
      <c r="B89" s="3" t="s">
        <v>3</v>
      </c>
      <c r="C89" s="7" t="s">
        <v>119</v>
      </c>
      <c r="D89" s="2" t="s">
        <v>8</v>
      </c>
      <c r="F89" s="2" t="b">
        <f t="shared" si="2"/>
        <v>0</v>
      </c>
      <c r="H89" s="19"/>
    </row>
    <row r="90" spans="1:8" ht="26" x14ac:dyDescent="0.2">
      <c r="A90" s="3">
        <v>17</v>
      </c>
      <c r="B90" s="3" t="s">
        <v>6</v>
      </c>
      <c r="C90" s="7" t="s">
        <v>120</v>
      </c>
      <c r="D90" s="2" t="s">
        <v>7</v>
      </c>
      <c r="F90" s="2" t="b">
        <f t="shared" si="2"/>
        <v>0</v>
      </c>
      <c r="H90" s="19"/>
    </row>
    <row r="91" spans="1:8" ht="62.25" customHeight="1" x14ac:dyDescent="0.2">
      <c r="A91" s="3">
        <v>18</v>
      </c>
      <c r="B91" s="18" t="s">
        <v>347</v>
      </c>
      <c r="C91" s="18"/>
      <c r="D91" s="18"/>
      <c r="E91" s="18"/>
      <c r="F91" s="18"/>
    </row>
    <row r="92" spans="1:8" x14ac:dyDescent="0.2">
      <c r="A92" s="3">
        <v>18</v>
      </c>
      <c r="B92" s="3" t="s">
        <v>0</v>
      </c>
      <c r="C92" s="6" t="s">
        <v>122</v>
      </c>
      <c r="D92" s="2" t="s">
        <v>7</v>
      </c>
      <c r="F92" s="2" t="b">
        <f t="shared" si="2"/>
        <v>0</v>
      </c>
      <c r="H92" s="18" t="s">
        <v>126</v>
      </c>
    </row>
    <row r="93" spans="1:8" x14ac:dyDescent="0.2">
      <c r="A93" s="3">
        <v>18</v>
      </c>
      <c r="B93" s="3" t="s">
        <v>1</v>
      </c>
      <c r="C93" s="6" t="s">
        <v>123</v>
      </c>
      <c r="D93" s="2" t="s">
        <v>7</v>
      </c>
      <c r="F93" s="2" t="b">
        <f t="shared" si="2"/>
        <v>0</v>
      </c>
      <c r="H93" s="19"/>
    </row>
    <row r="94" spans="1:8" x14ac:dyDescent="0.2">
      <c r="A94" s="3">
        <v>18</v>
      </c>
      <c r="B94" s="3" t="s">
        <v>2</v>
      </c>
      <c r="C94" s="6" t="s">
        <v>124</v>
      </c>
      <c r="D94" s="2" t="s">
        <v>8</v>
      </c>
      <c r="F94" s="2" t="b">
        <f t="shared" si="2"/>
        <v>0</v>
      </c>
      <c r="H94" s="19"/>
    </row>
    <row r="95" spans="1:8" x14ac:dyDescent="0.2">
      <c r="A95" s="3">
        <v>18</v>
      </c>
      <c r="B95" s="3" t="s">
        <v>3</v>
      </c>
      <c r="C95" s="6" t="s">
        <v>125</v>
      </c>
      <c r="D95" s="2" t="s">
        <v>7</v>
      </c>
      <c r="F95" s="2" t="b">
        <f t="shared" si="2"/>
        <v>0</v>
      </c>
      <c r="H95" s="19"/>
    </row>
    <row r="96" spans="1:8" ht="42" customHeight="1" x14ac:dyDescent="0.2">
      <c r="A96" s="3">
        <v>19</v>
      </c>
      <c r="B96" s="18" t="s">
        <v>348</v>
      </c>
      <c r="C96" s="18"/>
      <c r="D96" s="18"/>
      <c r="E96" s="18"/>
      <c r="F96" s="18"/>
    </row>
    <row r="97" spans="1:8" ht="15" customHeight="1" x14ac:dyDescent="0.2">
      <c r="A97" s="3">
        <v>19</v>
      </c>
      <c r="B97" s="3" t="s">
        <v>0</v>
      </c>
      <c r="C97" s="6" t="s">
        <v>127</v>
      </c>
      <c r="D97" s="2" t="s">
        <v>7</v>
      </c>
      <c r="F97" s="2" t="b">
        <f t="shared" si="2"/>
        <v>0</v>
      </c>
      <c r="H97" s="18" t="s">
        <v>131</v>
      </c>
    </row>
    <row r="98" spans="1:8" ht="26" x14ac:dyDescent="0.2">
      <c r="A98" s="3">
        <v>19</v>
      </c>
      <c r="B98" s="3" t="s">
        <v>1</v>
      </c>
      <c r="C98" s="7" t="s">
        <v>128</v>
      </c>
      <c r="D98" s="2" t="s">
        <v>7</v>
      </c>
      <c r="F98" s="2" t="b">
        <f t="shared" si="2"/>
        <v>0</v>
      </c>
      <c r="H98" s="18"/>
    </row>
    <row r="99" spans="1:8" x14ac:dyDescent="0.2">
      <c r="A99" s="3">
        <v>19</v>
      </c>
      <c r="B99" s="3" t="s">
        <v>2</v>
      </c>
      <c r="C99" s="6" t="s">
        <v>129</v>
      </c>
      <c r="D99" s="2" t="s">
        <v>7</v>
      </c>
      <c r="F99" s="2" t="b">
        <f t="shared" si="2"/>
        <v>0</v>
      </c>
      <c r="H99" s="18"/>
    </row>
    <row r="100" spans="1:8" x14ac:dyDescent="0.2">
      <c r="A100" s="3">
        <v>19</v>
      </c>
      <c r="B100" s="3" t="s">
        <v>3</v>
      </c>
      <c r="C100" s="6" t="s">
        <v>130</v>
      </c>
      <c r="D100" s="2" t="s">
        <v>8</v>
      </c>
      <c r="F100" s="2" t="b">
        <f t="shared" si="2"/>
        <v>0</v>
      </c>
      <c r="H100" s="18"/>
    </row>
    <row r="101" spans="1:8" ht="33" customHeight="1" x14ac:dyDescent="0.2">
      <c r="A101" s="3">
        <v>20</v>
      </c>
      <c r="B101" s="18" t="s">
        <v>349</v>
      </c>
      <c r="C101" s="18"/>
      <c r="D101" s="18"/>
      <c r="E101" s="18"/>
      <c r="F101" s="18"/>
    </row>
    <row r="102" spans="1:8" x14ac:dyDescent="0.2">
      <c r="A102" s="3">
        <v>20</v>
      </c>
      <c r="B102" s="3" t="s">
        <v>0</v>
      </c>
      <c r="C102" s="6" t="s">
        <v>132</v>
      </c>
      <c r="D102" s="2" t="s">
        <v>7</v>
      </c>
      <c r="F102" s="2" t="b">
        <f t="shared" si="2"/>
        <v>0</v>
      </c>
      <c r="H102" s="18" t="s">
        <v>137</v>
      </c>
    </row>
    <row r="103" spans="1:8" x14ac:dyDescent="0.2">
      <c r="A103" s="3">
        <v>20</v>
      </c>
      <c r="B103" s="3" t="s">
        <v>1</v>
      </c>
      <c r="C103" s="6" t="s">
        <v>133</v>
      </c>
      <c r="D103" s="2" t="s">
        <v>7</v>
      </c>
      <c r="F103" s="2" t="b">
        <f t="shared" si="2"/>
        <v>0</v>
      </c>
      <c r="H103" s="19"/>
    </row>
    <row r="104" spans="1:8" x14ac:dyDescent="0.2">
      <c r="A104" s="3">
        <v>20</v>
      </c>
      <c r="B104" s="3" t="s">
        <v>2</v>
      </c>
      <c r="C104" s="6" t="s">
        <v>134</v>
      </c>
      <c r="D104" s="2" t="s">
        <v>7</v>
      </c>
      <c r="F104" s="2" t="b">
        <f t="shared" si="2"/>
        <v>0</v>
      </c>
      <c r="H104" s="19"/>
    </row>
    <row r="105" spans="1:8" x14ac:dyDescent="0.2">
      <c r="A105" s="3">
        <v>20</v>
      </c>
      <c r="B105" s="3" t="s">
        <v>3</v>
      </c>
      <c r="C105" s="6" t="s">
        <v>135</v>
      </c>
      <c r="D105" s="2" t="s">
        <v>8</v>
      </c>
      <c r="F105" s="2" t="b">
        <f t="shared" si="2"/>
        <v>0</v>
      </c>
      <c r="H105" s="19"/>
    </row>
    <row r="106" spans="1:8" x14ac:dyDescent="0.2">
      <c r="A106" s="3">
        <v>20</v>
      </c>
      <c r="B106" s="3" t="s">
        <v>6</v>
      </c>
      <c r="C106" s="6" t="s">
        <v>136</v>
      </c>
      <c r="D106" s="2" t="s">
        <v>8</v>
      </c>
      <c r="F106" s="2" t="b">
        <f t="shared" si="2"/>
        <v>0</v>
      </c>
      <c r="H106" s="19"/>
    </row>
    <row r="107" spans="1:8" ht="47.25" customHeight="1" x14ac:dyDescent="0.2">
      <c r="A107" s="3">
        <v>21</v>
      </c>
      <c r="B107" s="18" t="s">
        <v>350</v>
      </c>
      <c r="C107" s="18"/>
      <c r="D107" s="18"/>
      <c r="E107" s="18"/>
      <c r="F107" s="18"/>
    </row>
    <row r="108" spans="1:8" x14ac:dyDescent="0.2">
      <c r="A108" s="3">
        <v>21</v>
      </c>
      <c r="B108" s="3" t="s">
        <v>0</v>
      </c>
      <c r="C108" s="6" t="s">
        <v>138</v>
      </c>
      <c r="D108" s="2" t="s">
        <v>7</v>
      </c>
      <c r="F108" s="2" t="b">
        <f t="shared" si="2"/>
        <v>0</v>
      </c>
      <c r="H108" s="18" t="s">
        <v>141</v>
      </c>
    </row>
    <row r="109" spans="1:8" x14ac:dyDescent="0.2">
      <c r="A109" s="3">
        <v>21</v>
      </c>
      <c r="B109" s="3" t="s">
        <v>1</v>
      </c>
      <c r="C109" s="6" t="s">
        <v>27</v>
      </c>
      <c r="D109" s="2" t="s">
        <v>8</v>
      </c>
      <c r="F109" s="2" t="b">
        <f t="shared" si="2"/>
        <v>0</v>
      </c>
      <c r="H109" s="19"/>
    </row>
    <row r="110" spans="1:8" x14ac:dyDescent="0.2">
      <c r="A110" s="3">
        <v>21</v>
      </c>
      <c r="B110" s="3" t="s">
        <v>2</v>
      </c>
      <c r="C110" s="6" t="s">
        <v>139</v>
      </c>
      <c r="D110" s="2" t="s">
        <v>7</v>
      </c>
      <c r="F110" s="2" t="b">
        <f t="shared" si="2"/>
        <v>0</v>
      </c>
      <c r="H110" s="19"/>
    </row>
    <row r="111" spans="1:8" x14ac:dyDescent="0.2">
      <c r="A111" s="3">
        <v>21</v>
      </c>
      <c r="B111" s="3" t="s">
        <v>3</v>
      </c>
      <c r="C111" s="6" t="s">
        <v>140</v>
      </c>
      <c r="D111" s="2" t="s">
        <v>7</v>
      </c>
      <c r="F111" s="2" t="b">
        <f t="shared" si="2"/>
        <v>0</v>
      </c>
      <c r="H111" s="19"/>
    </row>
    <row r="112" spans="1:8" ht="15" customHeight="1" x14ac:dyDescent="0.2">
      <c r="A112" s="3">
        <v>22</v>
      </c>
      <c r="B112" s="18" t="s">
        <v>142</v>
      </c>
      <c r="C112" s="18"/>
      <c r="D112" s="18"/>
      <c r="E112" s="18"/>
      <c r="F112" s="18"/>
    </row>
    <row r="113" spans="1:8" ht="26" x14ac:dyDescent="0.2">
      <c r="A113" s="3">
        <v>22</v>
      </c>
      <c r="B113" s="3" t="s">
        <v>0</v>
      </c>
      <c r="C113" s="7" t="s">
        <v>143</v>
      </c>
      <c r="D113" s="2" t="s">
        <v>8</v>
      </c>
      <c r="F113" s="2" t="b">
        <f t="shared" si="2"/>
        <v>0</v>
      </c>
      <c r="H113" s="18" t="s">
        <v>143</v>
      </c>
    </row>
    <row r="114" spans="1:8" ht="26" x14ac:dyDescent="0.2">
      <c r="A114" s="3">
        <v>22</v>
      </c>
      <c r="B114" s="3" t="s">
        <v>1</v>
      </c>
      <c r="C114" s="7" t="s">
        <v>144</v>
      </c>
      <c r="D114" s="2" t="s">
        <v>7</v>
      </c>
      <c r="F114" s="2" t="b">
        <f t="shared" si="2"/>
        <v>0</v>
      </c>
      <c r="H114" s="19"/>
    </row>
    <row r="115" spans="1:8" ht="26" x14ac:dyDescent="0.2">
      <c r="A115" s="3">
        <v>22</v>
      </c>
      <c r="B115" s="3" t="s">
        <v>2</v>
      </c>
      <c r="C115" s="7" t="s">
        <v>145</v>
      </c>
      <c r="D115" s="2" t="s">
        <v>7</v>
      </c>
      <c r="F115" s="2" t="b">
        <f t="shared" si="2"/>
        <v>0</v>
      </c>
      <c r="H115" s="19"/>
    </row>
    <row r="116" spans="1:8" x14ac:dyDescent="0.2">
      <c r="A116" s="3">
        <v>22</v>
      </c>
      <c r="B116" s="3" t="s">
        <v>3</v>
      </c>
      <c r="C116" s="7" t="s">
        <v>146</v>
      </c>
      <c r="D116" s="2" t="s">
        <v>7</v>
      </c>
      <c r="F116" s="2" t="b">
        <f t="shared" si="2"/>
        <v>0</v>
      </c>
      <c r="H116" s="19"/>
    </row>
    <row r="117" spans="1:8" ht="18.75" customHeight="1" x14ac:dyDescent="0.2">
      <c r="A117" s="3">
        <v>23</v>
      </c>
      <c r="B117" s="18" t="s">
        <v>351</v>
      </c>
      <c r="C117" s="18"/>
      <c r="D117" s="18"/>
      <c r="E117" s="18"/>
      <c r="F117" s="18"/>
    </row>
    <row r="118" spans="1:8" x14ac:dyDescent="0.2">
      <c r="A118" s="3">
        <v>23</v>
      </c>
      <c r="B118" s="3" t="s">
        <v>0</v>
      </c>
      <c r="C118" s="6" t="s">
        <v>147</v>
      </c>
      <c r="D118" s="2" t="s">
        <v>8</v>
      </c>
      <c r="F118" s="2" t="b">
        <f t="shared" si="2"/>
        <v>0</v>
      </c>
      <c r="H118" s="18" t="s">
        <v>151</v>
      </c>
    </row>
    <row r="119" spans="1:8" x14ac:dyDescent="0.2">
      <c r="A119" s="3">
        <v>23</v>
      </c>
      <c r="B119" s="3" t="s">
        <v>1</v>
      </c>
      <c r="C119" s="6" t="s">
        <v>148</v>
      </c>
      <c r="D119" s="2" t="s">
        <v>7</v>
      </c>
      <c r="F119" s="2" t="b">
        <f t="shared" si="2"/>
        <v>0</v>
      </c>
      <c r="H119" s="19"/>
    </row>
    <row r="120" spans="1:8" x14ac:dyDescent="0.2">
      <c r="A120" s="3">
        <v>23</v>
      </c>
      <c r="B120" s="3" t="s">
        <v>2</v>
      </c>
      <c r="C120" s="6" t="s">
        <v>149</v>
      </c>
      <c r="D120" s="2" t="s">
        <v>7</v>
      </c>
      <c r="F120" s="2" t="b">
        <f t="shared" si="2"/>
        <v>0</v>
      </c>
      <c r="H120" s="19"/>
    </row>
    <row r="121" spans="1:8" x14ac:dyDescent="0.2">
      <c r="A121" s="3">
        <v>23</v>
      </c>
      <c r="B121" s="3" t="s">
        <v>3</v>
      </c>
      <c r="C121" s="6" t="s">
        <v>150</v>
      </c>
      <c r="D121" s="2" t="s">
        <v>8</v>
      </c>
      <c r="F121" s="2" t="b">
        <f t="shared" si="2"/>
        <v>0</v>
      </c>
      <c r="H121" s="19"/>
    </row>
    <row r="122" spans="1:8" ht="34.5" customHeight="1" x14ac:dyDescent="0.2">
      <c r="A122" s="3">
        <v>24</v>
      </c>
      <c r="B122" s="18" t="s">
        <v>352</v>
      </c>
      <c r="C122" s="18"/>
      <c r="D122" s="18"/>
      <c r="E122" s="18"/>
      <c r="F122" s="18"/>
    </row>
    <row r="123" spans="1:8" x14ac:dyDescent="0.2">
      <c r="A123" s="3">
        <v>24</v>
      </c>
      <c r="B123" s="3" t="s">
        <v>0</v>
      </c>
      <c r="C123" s="6">
        <v>30</v>
      </c>
      <c r="D123" s="2" t="s">
        <v>7</v>
      </c>
      <c r="F123" s="2" t="b">
        <f t="shared" si="2"/>
        <v>0</v>
      </c>
      <c r="H123" s="18" t="s">
        <v>153</v>
      </c>
    </row>
    <row r="124" spans="1:8" x14ac:dyDescent="0.2">
      <c r="A124" s="3">
        <v>24</v>
      </c>
      <c r="B124" s="3" t="s">
        <v>1</v>
      </c>
      <c r="C124" s="6">
        <v>20</v>
      </c>
      <c r="D124" s="2" t="s">
        <v>8</v>
      </c>
      <c r="F124" s="2" t="b">
        <f t="shared" si="2"/>
        <v>0</v>
      </c>
      <c r="H124" s="19"/>
    </row>
    <row r="125" spans="1:8" x14ac:dyDescent="0.2">
      <c r="A125" s="3">
        <v>24</v>
      </c>
      <c r="B125" s="3" t="s">
        <v>2</v>
      </c>
      <c r="C125" s="6">
        <v>10</v>
      </c>
      <c r="D125" s="2" t="s">
        <v>7</v>
      </c>
      <c r="F125" s="2" t="b">
        <f t="shared" si="2"/>
        <v>0</v>
      </c>
      <c r="H125" s="19"/>
    </row>
    <row r="126" spans="1:8" x14ac:dyDescent="0.2">
      <c r="A126" s="3">
        <v>24</v>
      </c>
      <c r="B126" s="3" t="s">
        <v>3</v>
      </c>
      <c r="C126" s="6" t="s">
        <v>152</v>
      </c>
      <c r="D126" s="2" t="s">
        <v>7</v>
      </c>
      <c r="F126" s="2" t="b">
        <f t="shared" si="2"/>
        <v>0</v>
      </c>
      <c r="H126" s="19"/>
    </row>
    <row r="127" spans="1:8" ht="15" customHeight="1" x14ac:dyDescent="0.2">
      <c r="A127" s="3">
        <v>25</v>
      </c>
      <c r="B127" s="18" t="s">
        <v>154</v>
      </c>
      <c r="C127" s="18"/>
      <c r="D127" s="18"/>
      <c r="E127" s="18"/>
      <c r="F127" s="18"/>
    </row>
    <row r="128" spans="1:8" x14ac:dyDescent="0.2">
      <c r="A128" s="3">
        <v>25</v>
      </c>
      <c r="B128" s="3" t="s">
        <v>0</v>
      </c>
      <c r="C128" s="6" t="s">
        <v>155</v>
      </c>
      <c r="D128" s="2" t="s">
        <v>7</v>
      </c>
      <c r="F128" s="2" t="b">
        <f t="shared" si="2"/>
        <v>0</v>
      </c>
      <c r="H128" s="18" t="s">
        <v>159</v>
      </c>
    </row>
    <row r="129" spans="1:8" x14ac:dyDescent="0.2">
      <c r="A129" s="3">
        <v>25</v>
      </c>
      <c r="B129" s="3" t="s">
        <v>1</v>
      </c>
      <c r="C129" s="6" t="s">
        <v>156</v>
      </c>
      <c r="D129" s="2" t="s">
        <v>8</v>
      </c>
      <c r="F129" s="2" t="b">
        <f t="shared" si="2"/>
        <v>0</v>
      </c>
      <c r="H129" s="19"/>
    </row>
    <row r="130" spans="1:8" x14ac:dyDescent="0.2">
      <c r="A130" s="3">
        <v>25</v>
      </c>
      <c r="B130" s="3" t="s">
        <v>2</v>
      </c>
      <c r="C130" s="6" t="s">
        <v>157</v>
      </c>
      <c r="D130" s="2" t="s">
        <v>7</v>
      </c>
      <c r="F130" s="2" t="b">
        <f t="shared" si="2"/>
        <v>0</v>
      </c>
      <c r="H130" s="19"/>
    </row>
    <row r="131" spans="1:8" x14ac:dyDescent="0.2">
      <c r="A131" s="3">
        <v>25</v>
      </c>
      <c r="B131" s="3" t="s">
        <v>3</v>
      </c>
      <c r="C131" s="6" t="s">
        <v>158</v>
      </c>
      <c r="D131" s="2" t="s">
        <v>7</v>
      </c>
      <c r="F131" s="2" t="b">
        <f t="shared" si="2"/>
        <v>0</v>
      </c>
      <c r="H131" s="19"/>
    </row>
    <row r="132" spans="1:8" ht="43.5" customHeight="1" x14ac:dyDescent="0.2">
      <c r="A132" s="3">
        <v>26</v>
      </c>
      <c r="B132" s="18" t="s">
        <v>353</v>
      </c>
      <c r="C132" s="18"/>
      <c r="D132" s="18"/>
      <c r="E132" s="18"/>
      <c r="F132" s="18"/>
    </row>
    <row r="133" spans="1:8" x14ac:dyDescent="0.2">
      <c r="A133" s="3">
        <v>26</v>
      </c>
      <c r="B133" s="3" t="s">
        <v>0</v>
      </c>
      <c r="C133" s="6" t="s">
        <v>4</v>
      </c>
      <c r="D133" s="2" t="s">
        <v>7</v>
      </c>
      <c r="F133" s="2" t="b">
        <f t="shared" si="2"/>
        <v>0</v>
      </c>
      <c r="H133" s="18" t="s">
        <v>162</v>
      </c>
    </row>
    <row r="134" spans="1:8" x14ac:dyDescent="0.2">
      <c r="A134" s="3">
        <v>26</v>
      </c>
      <c r="B134" s="3" t="s">
        <v>1</v>
      </c>
      <c r="C134" s="6" t="s">
        <v>22</v>
      </c>
      <c r="D134" s="2" t="s">
        <v>7</v>
      </c>
      <c r="F134" s="2" t="b">
        <f t="shared" si="2"/>
        <v>0</v>
      </c>
      <c r="H134" s="19"/>
    </row>
    <row r="135" spans="1:8" x14ac:dyDescent="0.2">
      <c r="A135" s="3">
        <v>26</v>
      </c>
      <c r="B135" s="3" t="s">
        <v>2</v>
      </c>
      <c r="C135" s="6" t="s">
        <v>160</v>
      </c>
      <c r="D135" s="2" t="s">
        <v>7</v>
      </c>
      <c r="F135" s="2" t="b">
        <f t="shared" ref="F135:F197" si="3">D135=E135</f>
        <v>0</v>
      </c>
      <c r="H135" s="19"/>
    </row>
    <row r="136" spans="1:8" x14ac:dyDescent="0.2">
      <c r="A136" s="3">
        <v>26</v>
      </c>
      <c r="B136" s="3" t="s">
        <v>3</v>
      </c>
      <c r="C136" s="6" t="s">
        <v>161</v>
      </c>
      <c r="D136" s="2" t="s">
        <v>8</v>
      </c>
      <c r="F136" s="2" t="b">
        <f t="shared" si="3"/>
        <v>0</v>
      </c>
      <c r="H136" s="19"/>
    </row>
    <row r="137" spans="1:8" ht="15" customHeight="1" x14ac:dyDescent="0.2">
      <c r="A137" s="3">
        <v>27</v>
      </c>
      <c r="B137" s="18" t="s">
        <v>163</v>
      </c>
      <c r="C137" s="18"/>
      <c r="D137" s="18"/>
      <c r="E137" s="18"/>
      <c r="F137" s="18"/>
    </row>
    <row r="138" spans="1:8" x14ac:dyDescent="0.2">
      <c r="A138" s="3">
        <v>27</v>
      </c>
      <c r="B138" s="3" t="s">
        <v>0</v>
      </c>
      <c r="C138" s="6" t="s">
        <v>164</v>
      </c>
      <c r="D138" s="2" t="s">
        <v>8</v>
      </c>
      <c r="F138" s="2" t="b">
        <f t="shared" si="3"/>
        <v>0</v>
      </c>
      <c r="H138" s="18" t="s">
        <v>169</v>
      </c>
    </row>
    <row r="139" spans="1:8" x14ac:dyDescent="0.2">
      <c r="A139" s="3">
        <v>27</v>
      </c>
      <c r="B139" s="3" t="s">
        <v>1</v>
      </c>
      <c r="C139" s="6" t="s">
        <v>165</v>
      </c>
      <c r="D139" s="2" t="s">
        <v>7</v>
      </c>
      <c r="F139" s="2" t="b">
        <f t="shared" si="3"/>
        <v>0</v>
      </c>
      <c r="H139" s="19"/>
    </row>
    <row r="140" spans="1:8" x14ac:dyDescent="0.2">
      <c r="A140" s="3">
        <v>27</v>
      </c>
      <c r="B140" s="3" t="s">
        <v>2</v>
      </c>
      <c r="C140" s="6" t="s">
        <v>166</v>
      </c>
      <c r="D140" s="2" t="s">
        <v>8</v>
      </c>
      <c r="F140" s="2" t="b">
        <f t="shared" si="3"/>
        <v>0</v>
      </c>
      <c r="H140" s="19"/>
    </row>
    <row r="141" spans="1:8" x14ac:dyDescent="0.2">
      <c r="A141" s="3">
        <v>27</v>
      </c>
      <c r="B141" s="3" t="s">
        <v>3</v>
      </c>
      <c r="C141" s="6" t="s">
        <v>167</v>
      </c>
      <c r="D141" s="2" t="s">
        <v>7</v>
      </c>
      <c r="F141" s="2" t="b">
        <f t="shared" si="3"/>
        <v>0</v>
      </c>
      <c r="H141" s="19"/>
    </row>
    <row r="142" spans="1:8" x14ac:dyDescent="0.2">
      <c r="A142" s="3">
        <v>27</v>
      </c>
      <c r="B142" s="3" t="s">
        <v>6</v>
      </c>
      <c r="C142" s="6" t="s">
        <v>168</v>
      </c>
      <c r="D142" s="2" t="s">
        <v>8</v>
      </c>
      <c r="F142" s="2" t="b">
        <f t="shared" si="3"/>
        <v>0</v>
      </c>
      <c r="H142" s="19"/>
    </row>
    <row r="143" spans="1:8" ht="50.25" customHeight="1" x14ac:dyDescent="0.2">
      <c r="A143" s="3">
        <v>28</v>
      </c>
      <c r="B143" s="18" t="s">
        <v>354</v>
      </c>
      <c r="C143" s="18"/>
      <c r="D143" s="18"/>
      <c r="E143" s="18"/>
      <c r="F143" s="18"/>
    </row>
    <row r="144" spans="1:8" x14ac:dyDescent="0.2">
      <c r="A144" s="3">
        <v>28</v>
      </c>
      <c r="B144" s="3" t="s">
        <v>0</v>
      </c>
      <c r="C144" s="6" t="s">
        <v>170</v>
      </c>
      <c r="D144" s="2" t="s">
        <v>8</v>
      </c>
      <c r="F144" s="2" t="b">
        <f t="shared" si="3"/>
        <v>0</v>
      </c>
      <c r="H144" s="18" t="s">
        <v>174</v>
      </c>
    </row>
    <row r="145" spans="1:8" x14ac:dyDescent="0.2">
      <c r="A145" s="3">
        <v>28</v>
      </c>
      <c r="B145" s="3" t="s">
        <v>1</v>
      </c>
      <c r="C145" s="6" t="s">
        <v>171</v>
      </c>
      <c r="D145" s="2" t="s">
        <v>7</v>
      </c>
      <c r="F145" s="2" t="b">
        <f t="shared" si="3"/>
        <v>0</v>
      </c>
      <c r="H145" s="19"/>
    </row>
    <row r="146" spans="1:8" x14ac:dyDescent="0.2">
      <c r="A146" s="3">
        <v>28</v>
      </c>
      <c r="B146" s="3" t="s">
        <v>2</v>
      </c>
      <c r="C146" s="6" t="s">
        <v>172</v>
      </c>
      <c r="D146" s="2" t="s">
        <v>7</v>
      </c>
      <c r="F146" s="2" t="b">
        <f t="shared" si="3"/>
        <v>0</v>
      </c>
      <c r="H146" s="19"/>
    </row>
    <row r="147" spans="1:8" x14ac:dyDescent="0.2">
      <c r="A147" s="3">
        <v>28</v>
      </c>
      <c r="B147" s="3" t="s">
        <v>3</v>
      </c>
      <c r="C147" s="6" t="s">
        <v>173</v>
      </c>
      <c r="D147" s="2" t="s">
        <v>7</v>
      </c>
      <c r="F147" s="2" t="b">
        <f t="shared" si="3"/>
        <v>0</v>
      </c>
      <c r="H147" s="19"/>
    </row>
    <row r="148" spans="1:8" ht="15" customHeight="1" x14ac:dyDescent="0.2">
      <c r="A148" s="3">
        <v>29</v>
      </c>
      <c r="B148" s="18" t="s">
        <v>175</v>
      </c>
      <c r="C148" s="18"/>
      <c r="D148" s="18"/>
      <c r="E148" s="18"/>
      <c r="F148" s="18"/>
    </row>
    <row r="149" spans="1:8" x14ac:dyDescent="0.2">
      <c r="A149" s="3">
        <v>29</v>
      </c>
      <c r="B149" s="3" t="s">
        <v>0</v>
      </c>
      <c r="C149" s="6" t="b">
        <v>1</v>
      </c>
      <c r="D149" s="2" t="s">
        <v>7</v>
      </c>
      <c r="F149" s="2" t="b">
        <f t="shared" si="3"/>
        <v>0</v>
      </c>
      <c r="H149" s="18" t="s">
        <v>177</v>
      </c>
    </row>
    <row r="150" spans="1:8" x14ac:dyDescent="0.2">
      <c r="A150" s="3">
        <v>29</v>
      </c>
      <c r="B150" s="3" t="s">
        <v>1</v>
      </c>
      <c r="C150" s="6" t="s">
        <v>176</v>
      </c>
      <c r="D150" s="2" t="s">
        <v>8</v>
      </c>
      <c r="F150" s="2" t="b">
        <f t="shared" si="3"/>
        <v>0</v>
      </c>
      <c r="H150" s="19"/>
    </row>
    <row r="151" spans="1:8" ht="15" customHeight="1" x14ac:dyDescent="0.2">
      <c r="A151" s="3">
        <v>30</v>
      </c>
      <c r="B151" s="18" t="s">
        <v>178</v>
      </c>
      <c r="C151" s="18"/>
      <c r="D151" s="18"/>
      <c r="E151" s="18"/>
      <c r="F151" s="18"/>
    </row>
    <row r="152" spans="1:8" x14ac:dyDescent="0.2">
      <c r="A152" s="3">
        <v>30</v>
      </c>
      <c r="B152" s="3" t="s">
        <v>0</v>
      </c>
      <c r="C152" s="6">
        <v>1</v>
      </c>
      <c r="D152" s="2" t="s">
        <v>7</v>
      </c>
      <c r="F152" s="2" t="b">
        <f t="shared" si="3"/>
        <v>0</v>
      </c>
      <c r="H152" s="18" t="s">
        <v>179</v>
      </c>
    </row>
    <row r="153" spans="1:8" x14ac:dyDescent="0.2">
      <c r="A153" s="3">
        <v>30</v>
      </c>
      <c r="B153" s="3" t="s">
        <v>1</v>
      </c>
      <c r="C153" s="6">
        <v>5</v>
      </c>
      <c r="D153" s="2" t="s">
        <v>7</v>
      </c>
      <c r="F153" s="2" t="b">
        <f t="shared" si="3"/>
        <v>0</v>
      </c>
      <c r="H153" s="19"/>
    </row>
    <row r="154" spans="1:8" x14ac:dyDescent="0.2">
      <c r="A154" s="3">
        <v>30</v>
      </c>
      <c r="B154" s="3" t="s">
        <v>2</v>
      </c>
      <c r="C154" s="6">
        <v>2</v>
      </c>
      <c r="D154" s="2" t="s">
        <v>8</v>
      </c>
      <c r="F154" s="2" t="b">
        <f t="shared" si="3"/>
        <v>0</v>
      </c>
      <c r="H154" s="19"/>
    </row>
    <row r="155" spans="1:8" x14ac:dyDescent="0.2">
      <c r="A155" s="3">
        <v>30</v>
      </c>
      <c r="B155" s="3" t="s">
        <v>3</v>
      </c>
      <c r="C155" s="6">
        <v>6</v>
      </c>
      <c r="D155" s="2" t="s">
        <v>7</v>
      </c>
      <c r="F155" s="2" t="b">
        <f t="shared" si="3"/>
        <v>0</v>
      </c>
      <c r="H155" s="19"/>
    </row>
    <row r="156" spans="1:8" ht="33.75" customHeight="1" x14ac:dyDescent="0.2">
      <c r="A156" s="3">
        <v>31</v>
      </c>
      <c r="B156" s="18" t="s">
        <v>355</v>
      </c>
      <c r="C156" s="18"/>
      <c r="D156" s="18"/>
      <c r="E156" s="18"/>
      <c r="F156" s="18"/>
    </row>
    <row r="157" spans="1:8" x14ac:dyDescent="0.2">
      <c r="A157" s="3">
        <v>31</v>
      </c>
      <c r="B157" s="3" t="s">
        <v>0</v>
      </c>
      <c r="C157" s="6" t="s">
        <v>180</v>
      </c>
      <c r="D157" s="2" t="s">
        <v>8</v>
      </c>
      <c r="F157" s="2" t="b">
        <f t="shared" si="3"/>
        <v>0</v>
      </c>
      <c r="H157" s="18" t="s">
        <v>185</v>
      </c>
    </row>
    <row r="158" spans="1:8" x14ac:dyDescent="0.2">
      <c r="A158" s="3">
        <v>31</v>
      </c>
      <c r="B158" s="3" t="s">
        <v>1</v>
      </c>
      <c r="C158" s="6" t="s">
        <v>181</v>
      </c>
      <c r="D158" s="2" t="s">
        <v>7</v>
      </c>
      <c r="F158" s="2" t="b">
        <f t="shared" si="3"/>
        <v>0</v>
      </c>
      <c r="H158" s="19"/>
    </row>
    <row r="159" spans="1:8" x14ac:dyDescent="0.2">
      <c r="A159" s="3">
        <v>31</v>
      </c>
      <c r="B159" s="3" t="s">
        <v>2</v>
      </c>
      <c r="C159" s="6" t="s">
        <v>182</v>
      </c>
      <c r="D159" s="2" t="s">
        <v>7</v>
      </c>
      <c r="F159" s="2" t="b">
        <f t="shared" si="3"/>
        <v>0</v>
      </c>
      <c r="H159" s="19"/>
    </row>
    <row r="160" spans="1:8" x14ac:dyDescent="0.2">
      <c r="A160" s="3">
        <v>31</v>
      </c>
      <c r="B160" s="3" t="s">
        <v>3</v>
      </c>
      <c r="C160" s="6" t="s">
        <v>183</v>
      </c>
      <c r="D160" s="2" t="s">
        <v>7</v>
      </c>
      <c r="F160" s="2" t="b">
        <f t="shared" si="3"/>
        <v>0</v>
      </c>
      <c r="H160" s="19"/>
    </row>
    <row r="161" spans="1:8" x14ac:dyDescent="0.2">
      <c r="A161" s="3">
        <v>31</v>
      </c>
      <c r="B161" s="3" t="s">
        <v>6</v>
      </c>
      <c r="C161" s="6" t="s">
        <v>184</v>
      </c>
      <c r="D161" s="2" t="s">
        <v>8</v>
      </c>
      <c r="F161" s="2" t="b">
        <f t="shared" si="3"/>
        <v>0</v>
      </c>
      <c r="H161" s="19"/>
    </row>
    <row r="162" spans="1:8" ht="15" customHeight="1" x14ac:dyDescent="0.2">
      <c r="A162" s="3">
        <v>32</v>
      </c>
      <c r="B162" s="18" t="s">
        <v>186</v>
      </c>
      <c r="C162" s="18"/>
      <c r="D162" s="18"/>
      <c r="E162" s="18"/>
      <c r="F162" s="18"/>
    </row>
    <row r="163" spans="1:8" x14ac:dyDescent="0.2">
      <c r="A163" s="3">
        <v>32</v>
      </c>
      <c r="B163" s="3" t="s">
        <v>0</v>
      </c>
      <c r="C163" s="6" t="s">
        <v>187</v>
      </c>
      <c r="D163" s="2" t="s">
        <v>7</v>
      </c>
      <c r="F163" s="2" t="b">
        <f t="shared" si="3"/>
        <v>0</v>
      </c>
      <c r="H163" s="18" t="s">
        <v>191</v>
      </c>
    </row>
    <row r="164" spans="1:8" x14ac:dyDescent="0.2">
      <c r="A164" s="3">
        <v>32</v>
      </c>
      <c r="B164" s="3" t="s">
        <v>1</v>
      </c>
      <c r="C164" s="6" t="s">
        <v>188</v>
      </c>
      <c r="D164" s="2" t="s">
        <v>7</v>
      </c>
      <c r="F164" s="2" t="b">
        <f t="shared" si="3"/>
        <v>0</v>
      </c>
      <c r="H164" s="19"/>
    </row>
    <row r="165" spans="1:8" x14ac:dyDescent="0.2">
      <c r="A165" s="3">
        <v>32</v>
      </c>
      <c r="B165" s="3" t="s">
        <v>2</v>
      </c>
      <c r="C165" s="6" t="s">
        <v>189</v>
      </c>
      <c r="D165" s="2" t="s">
        <v>7</v>
      </c>
      <c r="F165" s="2" t="b">
        <f t="shared" si="3"/>
        <v>0</v>
      </c>
      <c r="H165" s="19"/>
    </row>
    <row r="166" spans="1:8" x14ac:dyDescent="0.2">
      <c r="A166" s="3">
        <v>32</v>
      </c>
      <c r="B166" s="3" t="s">
        <v>3</v>
      </c>
      <c r="C166" s="6" t="s">
        <v>190</v>
      </c>
      <c r="D166" s="2" t="s">
        <v>8</v>
      </c>
      <c r="F166" s="2" t="b">
        <f t="shared" si="3"/>
        <v>0</v>
      </c>
      <c r="H166" s="19"/>
    </row>
    <row r="167" spans="1:8" ht="15" customHeight="1" x14ac:dyDescent="0.2">
      <c r="A167" s="3">
        <v>33</v>
      </c>
      <c r="B167" s="18" t="s">
        <v>192</v>
      </c>
      <c r="C167" s="18"/>
      <c r="D167" s="18"/>
      <c r="E167" s="18"/>
      <c r="F167" s="18"/>
    </row>
    <row r="168" spans="1:8" x14ac:dyDescent="0.2">
      <c r="A168" s="3">
        <v>33</v>
      </c>
      <c r="B168" s="3" t="s">
        <v>0</v>
      </c>
      <c r="C168" s="6" t="s">
        <v>193</v>
      </c>
      <c r="D168" s="2" t="s">
        <v>7</v>
      </c>
      <c r="F168" s="2" t="b">
        <f t="shared" si="3"/>
        <v>0</v>
      </c>
      <c r="H168" s="18" t="s">
        <v>197</v>
      </c>
    </row>
    <row r="169" spans="1:8" x14ac:dyDescent="0.2">
      <c r="A169" s="3">
        <v>33</v>
      </c>
      <c r="B169" s="3" t="s">
        <v>1</v>
      </c>
      <c r="C169" s="7" t="s">
        <v>194</v>
      </c>
      <c r="D169" s="2" t="s">
        <v>8</v>
      </c>
      <c r="F169" s="2" t="b">
        <f t="shared" si="3"/>
        <v>0</v>
      </c>
      <c r="H169" s="19"/>
    </row>
    <row r="170" spans="1:8" x14ac:dyDescent="0.2">
      <c r="A170" s="3">
        <v>33</v>
      </c>
      <c r="B170" s="3" t="s">
        <v>2</v>
      </c>
      <c r="C170" s="6" t="s">
        <v>195</v>
      </c>
      <c r="D170" s="2" t="s">
        <v>7</v>
      </c>
      <c r="F170" s="2" t="b">
        <f t="shared" si="3"/>
        <v>0</v>
      </c>
      <c r="H170" s="19"/>
    </row>
    <row r="171" spans="1:8" x14ac:dyDescent="0.2">
      <c r="A171" s="3">
        <v>33</v>
      </c>
      <c r="B171" s="3" t="s">
        <v>3</v>
      </c>
      <c r="C171" s="6" t="s">
        <v>196</v>
      </c>
      <c r="D171" s="2" t="s">
        <v>7</v>
      </c>
      <c r="F171" s="2" t="b">
        <f t="shared" si="3"/>
        <v>0</v>
      </c>
      <c r="H171" s="19"/>
    </row>
    <row r="172" spans="1:8" ht="15" customHeight="1" x14ac:dyDescent="0.2">
      <c r="A172" s="3">
        <v>34</v>
      </c>
      <c r="B172" s="18" t="s">
        <v>198</v>
      </c>
      <c r="C172" s="18"/>
      <c r="D172" s="18"/>
      <c r="E172" s="18"/>
      <c r="F172" s="18"/>
    </row>
    <row r="173" spans="1:8" ht="26" x14ac:dyDescent="0.2">
      <c r="A173" s="3">
        <v>34</v>
      </c>
      <c r="B173" s="3" t="s">
        <v>0</v>
      </c>
      <c r="C173" s="7" t="s">
        <v>199</v>
      </c>
      <c r="D173" s="2" t="s">
        <v>7</v>
      </c>
      <c r="F173" s="2" t="b">
        <f t="shared" si="3"/>
        <v>0</v>
      </c>
      <c r="H173" s="18" t="s">
        <v>203</v>
      </c>
    </row>
    <row r="174" spans="1:8" ht="39" x14ac:dyDescent="0.2">
      <c r="A174" s="3">
        <v>34</v>
      </c>
      <c r="B174" s="3" t="s">
        <v>1</v>
      </c>
      <c r="C174" s="7" t="s">
        <v>200</v>
      </c>
      <c r="D174" s="2" t="s">
        <v>7</v>
      </c>
      <c r="F174" s="2" t="b">
        <f t="shared" si="3"/>
        <v>0</v>
      </c>
      <c r="H174" s="19"/>
    </row>
    <row r="175" spans="1:8" ht="26" x14ac:dyDescent="0.2">
      <c r="A175" s="3">
        <v>34</v>
      </c>
      <c r="B175" s="3" t="s">
        <v>2</v>
      </c>
      <c r="C175" s="7" t="s">
        <v>201</v>
      </c>
      <c r="D175" s="2" t="s">
        <v>7</v>
      </c>
      <c r="F175" s="2" t="b">
        <f t="shared" si="3"/>
        <v>0</v>
      </c>
      <c r="H175" s="19"/>
    </row>
    <row r="176" spans="1:8" ht="39" x14ac:dyDescent="0.2">
      <c r="A176" s="3">
        <v>34</v>
      </c>
      <c r="B176" s="3" t="s">
        <v>3</v>
      </c>
      <c r="C176" s="7" t="s">
        <v>202</v>
      </c>
      <c r="D176" s="2" t="s">
        <v>8</v>
      </c>
      <c r="F176" s="2" t="b">
        <f t="shared" si="3"/>
        <v>0</v>
      </c>
      <c r="H176" s="19"/>
    </row>
    <row r="177" spans="1:8" ht="44.25" customHeight="1" x14ac:dyDescent="0.2">
      <c r="A177" s="3">
        <v>35</v>
      </c>
      <c r="B177" s="18" t="s">
        <v>356</v>
      </c>
      <c r="C177" s="18"/>
      <c r="D177" s="18"/>
      <c r="E177" s="18"/>
      <c r="F177" s="18"/>
    </row>
    <row r="178" spans="1:8" x14ac:dyDescent="0.2">
      <c r="A178" s="3">
        <v>35</v>
      </c>
      <c r="B178" s="3" t="s">
        <v>0</v>
      </c>
      <c r="C178" s="6" t="s">
        <v>83</v>
      </c>
      <c r="D178" s="2" t="s">
        <v>7</v>
      </c>
      <c r="F178" s="2" t="b">
        <f t="shared" si="3"/>
        <v>0</v>
      </c>
      <c r="H178" s="18" t="s">
        <v>205</v>
      </c>
    </row>
    <row r="179" spans="1:8" x14ac:dyDescent="0.2">
      <c r="A179" s="3">
        <v>35</v>
      </c>
      <c r="B179" s="3" t="s">
        <v>1</v>
      </c>
      <c r="C179" s="6" t="s">
        <v>34</v>
      </c>
      <c r="D179" s="2" t="s">
        <v>8</v>
      </c>
      <c r="F179" s="2" t="b">
        <f t="shared" si="3"/>
        <v>0</v>
      </c>
      <c r="H179" s="19"/>
    </row>
    <row r="180" spans="1:8" x14ac:dyDescent="0.2">
      <c r="A180" s="3">
        <v>35</v>
      </c>
      <c r="B180" s="3" t="s">
        <v>2</v>
      </c>
      <c r="C180" s="6" t="s">
        <v>10</v>
      </c>
      <c r="D180" s="2" t="s">
        <v>7</v>
      </c>
      <c r="F180" s="2" t="b">
        <f t="shared" si="3"/>
        <v>0</v>
      </c>
      <c r="H180" s="19"/>
    </row>
    <row r="181" spans="1:8" x14ac:dyDescent="0.2">
      <c r="A181" s="3">
        <v>35</v>
      </c>
      <c r="B181" s="3" t="s">
        <v>3</v>
      </c>
      <c r="C181" s="6" t="s">
        <v>204</v>
      </c>
      <c r="D181" s="2" t="s">
        <v>7</v>
      </c>
      <c r="F181" s="2" t="b">
        <f t="shared" si="3"/>
        <v>0</v>
      </c>
      <c r="H181" s="19"/>
    </row>
    <row r="182" spans="1:8" ht="50.25" customHeight="1" x14ac:dyDescent="0.2">
      <c r="A182" s="3">
        <v>36</v>
      </c>
      <c r="B182" s="18" t="s">
        <v>357</v>
      </c>
      <c r="C182" s="18"/>
      <c r="D182" s="18"/>
      <c r="E182" s="18"/>
      <c r="F182" s="18"/>
    </row>
    <row r="183" spans="1:8" x14ac:dyDescent="0.2">
      <c r="A183" s="3">
        <v>36</v>
      </c>
      <c r="B183" s="3" t="s">
        <v>0</v>
      </c>
      <c r="C183" s="7" t="s">
        <v>206</v>
      </c>
      <c r="D183" s="2" t="s">
        <v>8</v>
      </c>
      <c r="F183" s="2" t="b">
        <f t="shared" si="3"/>
        <v>0</v>
      </c>
      <c r="H183" s="18" t="s">
        <v>210</v>
      </c>
    </row>
    <row r="184" spans="1:8" x14ac:dyDescent="0.2">
      <c r="A184" s="3">
        <v>36</v>
      </c>
      <c r="B184" s="3" t="s">
        <v>1</v>
      </c>
      <c r="C184" s="6" t="s">
        <v>207</v>
      </c>
      <c r="D184" s="2" t="s">
        <v>7</v>
      </c>
      <c r="F184" s="2" t="b">
        <f t="shared" si="3"/>
        <v>0</v>
      </c>
      <c r="H184" s="19"/>
    </row>
    <row r="185" spans="1:8" x14ac:dyDescent="0.2">
      <c r="A185" s="3">
        <v>36</v>
      </c>
      <c r="B185" s="3" t="s">
        <v>2</v>
      </c>
      <c r="C185" s="6" t="s">
        <v>208</v>
      </c>
      <c r="D185" s="2" t="s">
        <v>7</v>
      </c>
      <c r="F185" s="2" t="b">
        <f t="shared" si="3"/>
        <v>0</v>
      </c>
      <c r="H185" s="19"/>
    </row>
    <row r="186" spans="1:8" x14ac:dyDescent="0.2">
      <c r="A186" s="3">
        <v>36</v>
      </c>
      <c r="B186" s="3" t="s">
        <v>3</v>
      </c>
      <c r="C186" s="6" t="s">
        <v>209</v>
      </c>
      <c r="D186" s="2" t="s">
        <v>7</v>
      </c>
      <c r="F186" s="2" t="b">
        <f t="shared" si="3"/>
        <v>0</v>
      </c>
      <c r="H186" s="19"/>
    </row>
    <row r="187" spans="1:8" ht="30" customHeight="1" x14ac:dyDescent="0.2">
      <c r="A187" s="3">
        <v>37</v>
      </c>
      <c r="B187" s="18" t="s">
        <v>358</v>
      </c>
      <c r="C187" s="18"/>
      <c r="D187" s="18"/>
      <c r="E187" s="18"/>
      <c r="F187" s="18"/>
    </row>
    <row r="188" spans="1:8" x14ac:dyDescent="0.2">
      <c r="A188" s="3">
        <v>37</v>
      </c>
      <c r="B188" s="3" t="s">
        <v>0</v>
      </c>
      <c r="C188" s="6" t="s">
        <v>211</v>
      </c>
      <c r="D188" s="2" t="s">
        <v>7</v>
      </c>
      <c r="F188" s="2" t="b">
        <f t="shared" si="3"/>
        <v>0</v>
      </c>
      <c r="H188" s="18" t="s">
        <v>216</v>
      </c>
    </row>
    <row r="189" spans="1:8" x14ac:dyDescent="0.2">
      <c r="A189" s="3">
        <v>37</v>
      </c>
      <c r="B189" s="3" t="s">
        <v>1</v>
      </c>
      <c r="C189" s="6" t="s">
        <v>212</v>
      </c>
      <c r="D189" s="2" t="s">
        <v>8</v>
      </c>
      <c r="F189" s="2" t="b">
        <f t="shared" si="3"/>
        <v>0</v>
      </c>
      <c r="H189" s="19"/>
    </row>
    <row r="190" spans="1:8" x14ac:dyDescent="0.2">
      <c r="A190" s="3">
        <v>37</v>
      </c>
      <c r="B190" s="3" t="s">
        <v>2</v>
      </c>
      <c r="C190" s="6" t="s">
        <v>213</v>
      </c>
      <c r="D190" s="2" t="s">
        <v>8</v>
      </c>
      <c r="F190" s="2" t="b">
        <f t="shared" si="3"/>
        <v>0</v>
      </c>
      <c r="H190" s="19"/>
    </row>
    <row r="191" spans="1:8" x14ac:dyDescent="0.2">
      <c r="A191" s="3">
        <v>37</v>
      </c>
      <c r="B191" s="3" t="s">
        <v>3</v>
      </c>
      <c r="C191" s="6" t="s">
        <v>214</v>
      </c>
      <c r="D191" s="2" t="s">
        <v>7</v>
      </c>
      <c r="F191" s="2" t="b">
        <f t="shared" si="3"/>
        <v>0</v>
      </c>
      <c r="H191" s="19"/>
    </row>
    <row r="192" spans="1:8" x14ac:dyDescent="0.2">
      <c r="A192" s="3">
        <v>37</v>
      </c>
      <c r="B192" s="3" t="s">
        <v>6</v>
      </c>
      <c r="C192" s="6" t="s">
        <v>215</v>
      </c>
      <c r="D192" s="2" t="s">
        <v>7</v>
      </c>
      <c r="F192" s="2" t="b">
        <f t="shared" si="3"/>
        <v>0</v>
      </c>
    </row>
    <row r="193" spans="1:8" ht="29.25" customHeight="1" x14ac:dyDescent="0.2">
      <c r="A193" s="3">
        <v>38</v>
      </c>
      <c r="B193" s="18" t="s">
        <v>359</v>
      </c>
      <c r="C193" s="18"/>
      <c r="D193" s="18"/>
      <c r="E193" s="18"/>
      <c r="F193" s="18"/>
    </row>
    <row r="194" spans="1:8" x14ac:dyDescent="0.2">
      <c r="A194" s="3">
        <v>38</v>
      </c>
      <c r="B194" s="3" t="s">
        <v>0</v>
      </c>
      <c r="C194" s="6" t="s">
        <v>217</v>
      </c>
      <c r="D194" s="2" t="s">
        <v>8</v>
      </c>
      <c r="F194" s="2" t="b">
        <f t="shared" si="3"/>
        <v>0</v>
      </c>
      <c r="H194" s="18" t="s">
        <v>220</v>
      </c>
    </row>
    <row r="195" spans="1:8" x14ac:dyDescent="0.2">
      <c r="A195" s="3">
        <v>38</v>
      </c>
      <c r="B195" s="3" t="s">
        <v>1</v>
      </c>
      <c r="C195" s="6" t="s">
        <v>21</v>
      </c>
      <c r="D195" s="2" t="s">
        <v>7</v>
      </c>
      <c r="F195" s="2" t="b">
        <f t="shared" si="3"/>
        <v>0</v>
      </c>
      <c r="H195" s="19"/>
    </row>
    <row r="196" spans="1:8" x14ac:dyDescent="0.2">
      <c r="A196" s="3">
        <v>38</v>
      </c>
      <c r="B196" s="3" t="s">
        <v>2</v>
      </c>
      <c r="C196" s="6" t="s">
        <v>218</v>
      </c>
      <c r="D196" s="2" t="s">
        <v>7</v>
      </c>
      <c r="F196" s="2" t="b">
        <f t="shared" si="3"/>
        <v>0</v>
      </c>
      <c r="H196" s="19"/>
    </row>
    <row r="197" spans="1:8" x14ac:dyDescent="0.2">
      <c r="A197" s="3">
        <v>38</v>
      </c>
      <c r="B197" s="3" t="s">
        <v>3</v>
      </c>
      <c r="C197" s="6" t="s">
        <v>219</v>
      </c>
      <c r="D197" s="2" t="s">
        <v>7</v>
      </c>
      <c r="F197" s="2" t="b">
        <f t="shared" si="3"/>
        <v>0</v>
      </c>
      <c r="H197" s="19"/>
    </row>
    <row r="198" spans="1:8" ht="39.75" customHeight="1" x14ac:dyDescent="0.2">
      <c r="A198" s="3">
        <v>39</v>
      </c>
      <c r="B198" s="18" t="s">
        <v>360</v>
      </c>
      <c r="C198" s="18"/>
      <c r="D198" s="18"/>
      <c r="E198" s="18"/>
      <c r="F198" s="18"/>
    </row>
    <row r="199" spans="1:8" x14ac:dyDescent="0.2">
      <c r="A199" s="3">
        <v>39</v>
      </c>
      <c r="B199" s="3" t="s">
        <v>0</v>
      </c>
      <c r="C199" s="6" t="s">
        <v>29</v>
      </c>
      <c r="D199" s="2" t="s">
        <v>8</v>
      </c>
      <c r="F199" s="2" t="b">
        <f t="shared" ref="F199:F262" si="4">D199=E199</f>
        <v>0</v>
      </c>
      <c r="H199" s="18" t="s">
        <v>227</v>
      </c>
    </row>
    <row r="200" spans="1:8" x14ac:dyDescent="0.2">
      <c r="A200" s="3">
        <v>39</v>
      </c>
      <c r="B200" s="3" t="s">
        <v>1</v>
      </c>
      <c r="C200" s="6" t="s">
        <v>221</v>
      </c>
      <c r="D200" s="2" t="s">
        <v>7</v>
      </c>
      <c r="F200" s="2" t="b">
        <f t="shared" si="4"/>
        <v>0</v>
      </c>
      <c r="H200" s="19"/>
    </row>
    <row r="201" spans="1:8" x14ac:dyDescent="0.2">
      <c r="A201" s="3">
        <v>39</v>
      </c>
      <c r="B201" s="3" t="s">
        <v>2</v>
      </c>
      <c r="C201" s="6" t="s">
        <v>222</v>
      </c>
      <c r="D201" s="2" t="s">
        <v>7</v>
      </c>
      <c r="F201" s="2" t="b">
        <f t="shared" si="4"/>
        <v>0</v>
      </c>
      <c r="H201" s="19"/>
    </row>
    <row r="202" spans="1:8" x14ac:dyDescent="0.2">
      <c r="A202" s="3">
        <v>39</v>
      </c>
      <c r="B202" s="3" t="s">
        <v>3</v>
      </c>
      <c r="C202" s="6" t="s">
        <v>223</v>
      </c>
      <c r="D202" s="2" t="s">
        <v>7</v>
      </c>
      <c r="F202" s="2" t="b">
        <f t="shared" si="4"/>
        <v>0</v>
      </c>
      <c r="H202" s="19"/>
    </row>
    <row r="203" spans="1:8" x14ac:dyDescent="0.2">
      <c r="A203" s="3">
        <v>39</v>
      </c>
      <c r="B203" s="3" t="s">
        <v>6</v>
      </c>
      <c r="C203" s="6" t="s">
        <v>224</v>
      </c>
      <c r="D203" s="2" t="s">
        <v>8</v>
      </c>
      <c r="F203" s="2" t="b">
        <f t="shared" si="4"/>
        <v>0</v>
      </c>
      <c r="H203" s="19"/>
    </row>
    <row r="204" spans="1:8" x14ac:dyDescent="0.2">
      <c r="A204" s="3">
        <v>39</v>
      </c>
      <c r="B204" s="3" t="s">
        <v>37</v>
      </c>
      <c r="C204" s="6" t="s">
        <v>28</v>
      </c>
      <c r="D204" s="2" t="s">
        <v>8</v>
      </c>
      <c r="F204" s="2" t="b">
        <f t="shared" si="4"/>
        <v>0</v>
      </c>
      <c r="H204" s="19"/>
    </row>
    <row r="205" spans="1:8" x14ac:dyDescent="0.2">
      <c r="A205" s="3">
        <v>39</v>
      </c>
      <c r="B205" s="3" t="s">
        <v>226</v>
      </c>
      <c r="C205" s="6" t="s">
        <v>30</v>
      </c>
      <c r="D205" s="2" t="s">
        <v>8</v>
      </c>
      <c r="F205" s="2" t="b">
        <f t="shared" si="4"/>
        <v>0</v>
      </c>
      <c r="H205" s="19"/>
    </row>
    <row r="206" spans="1:8" x14ac:dyDescent="0.2">
      <c r="A206" s="3">
        <v>39</v>
      </c>
      <c r="B206" s="3" t="s">
        <v>80</v>
      </c>
      <c r="C206" s="6" t="s">
        <v>225</v>
      </c>
      <c r="D206" s="2" t="s">
        <v>8</v>
      </c>
      <c r="F206" s="2" t="b">
        <f t="shared" si="4"/>
        <v>0</v>
      </c>
      <c r="H206" s="19"/>
    </row>
    <row r="207" spans="1:8" ht="15" customHeight="1" x14ac:dyDescent="0.2">
      <c r="A207" s="3">
        <v>40</v>
      </c>
      <c r="B207" s="18" t="s">
        <v>228</v>
      </c>
      <c r="C207" s="18"/>
      <c r="D207" s="18"/>
      <c r="E207" s="18"/>
      <c r="F207" s="18"/>
    </row>
    <row r="208" spans="1:8" x14ac:dyDescent="0.2">
      <c r="A208" s="3">
        <v>40</v>
      </c>
      <c r="B208" s="3" t="s">
        <v>0</v>
      </c>
      <c r="C208" s="6" t="s">
        <v>34</v>
      </c>
      <c r="D208" s="2" t="s">
        <v>7</v>
      </c>
      <c r="F208" s="2" t="b">
        <f t="shared" si="4"/>
        <v>0</v>
      </c>
      <c r="H208" s="18" t="s">
        <v>229</v>
      </c>
    </row>
    <row r="209" spans="1:8" x14ac:dyDescent="0.2">
      <c r="A209" s="3">
        <v>40</v>
      </c>
      <c r="B209" s="3" t="s">
        <v>1</v>
      </c>
      <c r="C209" s="6" t="s">
        <v>33</v>
      </c>
      <c r="D209" s="2" t="s">
        <v>8</v>
      </c>
      <c r="F209" s="2" t="b">
        <f t="shared" si="4"/>
        <v>0</v>
      </c>
      <c r="H209" s="19"/>
    </row>
    <row r="210" spans="1:8" x14ac:dyDescent="0.2">
      <c r="A210" s="3">
        <v>40</v>
      </c>
      <c r="B210" s="3" t="s">
        <v>2</v>
      </c>
      <c r="C210" s="6" t="s">
        <v>99</v>
      </c>
      <c r="D210" s="2" t="s">
        <v>7</v>
      </c>
      <c r="F210" s="2" t="b">
        <f t="shared" si="4"/>
        <v>0</v>
      </c>
      <c r="H210" s="19"/>
    </row>
    <row r="211" spans="1:8" x14ac:dyDescent="0.2">
      <c r="A211" s="3">
        <v>40</v>
      </c>
      <c r="B211" s="3" t="s">
        <v>3</v>
      </c>
      <c r="C211" s="6" t="s">
        <v>98</v>
      </c>
      <c r="D211" s="2" t="s">
        <v>7</v>
      </c>
      <c r="F211" s="2" t="b">
        <f t="shared" si="4"/>
        <v>0</v>
      </c>
      <c r="H211" s="19"/>
    </row>
    <row r="212" spans="1:8" ht="15" customHeight="1" x14ac:dyDescent="0.2">
      <c r="A212" s="3">
        <v>41</v>
      </c>
      <c r="B212" s="18" t="s">
        <v>230</v>
      </c>
      <c r="C212" s="18"/>
      <c r="D212" s="18"/>
      <c r="E212" s="18"/>
      <c r="F212" s="18"/>
    </row>
    <row r="213" spans="1:8" x14ac:dyDescent="0.2">
      <c r="A213" s="3">
        <v>41</v>
      </c>
      <c r="B213" s="3" t="s">
        <v>0</v>
      </c>
      <c r="C213" s="6">
        <v>9</v>
      </c>
      <c r="D213" s="2" t="s">
        <v>7</v>
      </c>
      <c r="F213" s="2" t="b">
        <f t="shared" si="4"/>
        <v>0</v>
      </c>
      <c r="H213" s="18" t="s">
        <v>231</v>
      </c>
    </row>
    <row r="214" spans="1:8" x14ac:dyDescent="0.2">
      <c r="A214" s="3">
        <v>41</v>
      </c>
      <c r="B214" s="3" t="s">
        <v>1</v>
      </c>
      <c r="C214" s="6">
        <v>2</v>
      </c>
      <c r="D214" s="2" t="s">
        <v>7</v>
      </c>
      <c r="F214" s="2" t="b">
        <f t="shared" si="4"/>
        <v>0</v>
      </c>
      <c r="H214" s="19"/>
    </row>
    <row r="215" spans="1:8" x14ac:dyDescent="0.2">
      <c r="A215" s="3">
        <v>41</v>
      </c>
      <c r="B215" s="3" t="s">
        <v>2</v>
      </c>
      <c r="C215" s="6">
        <v>5</v>
      </c>
      <c r="D215" s="2" t="s">
        <v>7</v>
      </c>
      <c r="F215" s="2" t="b">
        <f t="shared" si="4"/>
        <v>0</v>
      </c>
      <c r="H215" s="19"/>
    </row>
    <row r="216" spans="1:8" x14ac:dyDescent="0.2">
      <c r="A216" s="3">
        <v>41</v>
      </c>
      <c r="B216" s="3" t="s">
        <v>3</v>
      </c>
      <c r="C216" s="6">
        <v>1</v>
      </c>
      <c r="D216" s="2" t="s">
        <v>8</v>
      </c>
      <c r="F216" s="2" t="b">
        <f t="shared" si="4"/>
        <v>0</v>
      </c>
      <c r="H216" s="19"/>
    </row>
    <row r="217" spans="1:8" ht="15" customHeight="1" x14ac:dyDescent="0.2">
      <c r="A217" s="3">
        <v>42</v>
      </c>
      <c r="B217" s="18" t="s">
        <v>232</v>
      </c>
      <c r="C217" s="18"/>
      <c r="D217" s="18"/>
      <c r="E217" s="18"/>
      <c r="F217" s="18"/>
    </row>
    <row r="218" spans="1:8" x14ac:dyDescent="0.2">
      <c r="A218" s="3">
        <v>42</v>
      </c>
      <c r="B218" s="3" t="s">
        <v>0</v>
      </c>
      <c r="C218" s="6" t="b">
        <v>1</v>
      </c>
      <c r="D218" s="2" t="s">
        <v>7</v>
      </c>
      <c r="F218" s="2" t="b">
        <f t="shared" si="4"/>
        <v>0</v>
      </c>
      <c r="H218" s="18" t="s">
        <v>233</v>
      </c>
    </row>
    <row r="219" spans="1:8" x14ac:dyDescent="0.2">
      <c r="A219" s="3">
        <v>42</v>
      </c>
      <c r="B219" s="3" t="s">
        <v>1</v>
      </c>
      <c r="C219" s="6" t="b">
        <v>0</v>
      </c>
      <c r="D219" s="2" t="s">
        <v>8</v>
      </c>
      <c r="F219" s="2" t="b">
        <f t="shared" si="4"/>
        <v>0</v>
      </c>
      <c r="H219" s="19"/>
    </row>
    <row r="220" spans="1:8" ht="39.75" customHeight="1" x14ac:dyDescent="0.2">
      <c r="A220" s="3">
        <v>43</v>
      </c>
      <c r="B220" s="18" t="s">
        <v>361</v>
      </c>
      <c r="C220" s="18"/>
      <c r="D220" s="18"/>
      <c r="E220" s="18"/>
      <c r="F220" s="18"/>
    </row>
    <row r="221" spans="1:8" x14ac:dyDescent="0.2">
      <c r="A221" s="3">
        <v>43</v>
      </c>
      <c r="B221" s="3" t="s">
        <v>0</v>
      </c>
      <c r="C221" s="6" t="s">
        <v>234</v>
      </c>
      <c r="D221" s="2" t="s">
        <v>7</v>
      </c>
      <c r="F221" s="2" t="b">
        <f t="shared" si="4"/>
        <v>0</v>
      </c>
      <c r="H221" s="18" t="s">
        <v>238</v>
      </c>
    </row>
    <row r="222" spans="1:8" x14ac:dyDescent="0.2">
      <c r="A222" s="3">
        <v>43</v>
      </c>
      <c r="B222" s="3" t="s">
        <v>1</v>
      </c>
      <c r="C222" s="6" t="s">
        <v>235</v>
      </c>
      <c r="D222" s="2" t="s">
        <v>8</v>
      </c>
      <c r="F222" s="2" t="b">
        <f t="shared" si="4"/>
        <v>0</v>
      </c>
      <c r="H222" s="19"/>
    </row>
    <row r="223" spans="1:8" x14ac:dyDescent="0.2">
      <c r="A223" s="3">
        <v>43</v>
      </c>
      <c r="B223" s="3" t="s">
        <v>2</v>
      </c>
      <c r="C223" s="6" t="s">
        <v>236</v>
      </c>
      <c r="D223" s="2" t="s">
        <v>7</v>
      </c>
      <c r="F223" s="2" t="b">
        <f t="shared" si="4"/>
        <v>0</v>
      </c>
      <c r="H223" s="19"/>
    </row>
    <row r="224" spans="1:8" x14ac:dyDescent="0.2">
      <c r="A224" s="3">
        <v>43</v>
      </c>
      <c r="B224" s="3" t="s">
        <v>3</v>
      </c>
      <c r="C224" s="6" t="s">
        <v>237</v>
      </c>
      <c r="D224" s="2" t="s">
        <v>7</v>
      </c>
      <c r="F224" s="2" t="b">
        <f t="shared" si="4"/>
        <v>0</v>
      </c>
      <c r="H224" s="19"/>
    </row>
    <row r="225" spans="1:8" ht="15" customHeight="1" x14ac:dyDescent="0.2">
      <c r="A225" s="3">
        <v>44</v>
      </c>
      <c r="B225" s="18" t="s">
        <v>239</v>
      </c>
      <c r="C225" s="18"/>
      <c r="D225" s="18"/>
      <c r="E225" s="18"/>
      <c r="F225" s="18"/>
    </row>
    <row r="226" spans="1:8" x14ac:dyDescent="0.2">
      <c r="A226" s="3">
        <v>44</v>
      </c>
      <c r="B226" s="3" t="s">
        <v>0</v>
      </c>
      <c r="C226" s="6" t="s">
        <v>240</v>
      </c>
      <c r="D226" s="2" t="s">
        <v>8</v>
      </c>
      <c r="F226" s="2" t="b">
        <f t="shared" si="4"/>
        <v>0</v>
      </c>
      <c r="H226" s="18" t="s">
        <v>244</v>
      </c>
    </row>
    <row r="227" spans="1:8" x14ac:dyDescent="0.2">
      <c r="A227" s="3">
        <v>44</v>
      </c>
      <c r="B227" s="3" t="s">
        <v>1</v>
      </c>
      <c r="C227" s="6" t="s">
        <v>241</v>
      </c>
      <c r="D227" s="2" t="s">
        <v>8</v>
      </c>
      <c r="F227" s="2" t="b">
        <f t="shared" si="4"/>
        <v>0</v>
      </c>
      <c r="H227" s="19"/>
    </row>
    <row r="228" spans="1:8" x14ac:dyDescent="0.2">
      <c r="A228" s="3">
        <v>44</v>
      </c>
      <c r="B228" s="3" t="s">
        <v>2</v>
      </c>
      <c r="C228" s="6" t="s">
        <v>242</v>
      </c>
      <c r="D228" s="2" t="s">
        <v>7</v>
      </c>
      <c r="F228" s="2" t="b">
        <f t="shared" si="4"/>
        <v>0</v>
      </c>
      <c r="H228" s="19"/>
    </row>
    <row r="229" spans="1:8" x14ac:dyDescent="0.2">
      <c r="A229" s="3">
        <v>44</v>
      </c>
      <c r="B229" s="3" t="s">
        <v>3</v>
      </c>
      <c r="C229" s="6" t="s">
        <v>243</v>
      </c>
      <c r="D229" s="2" t="s">
        <v>7</v>
      </c>
      <c r="F229" s="2" t="b">
        <f t="shared" si="4"/>
        <v>0</v>
      </c>
      <c r="H229" s="19"/>
    </row>
    <row r="230" spans="1:8" ht="67.5" customHeight="1" x14ac:dyDescent="0.2">
      <c r="A230" s="3">
        <v>45</v>
      </c>
      <c r="B230" s="18" t="s">
        <v>362</v>
      </c>
      <c r="C230" s="18"/>
      <c r="D230" s="18"/>
      <c r="E230" s="18"/>
      <c r="F230" s="18"/>
    </row>
    <row r="231" spans="1:8" x14ac:dyDescent="0.2">
      <c r="A231" s="3">
        <v>45</v>
      </c>
      <c r="B231" s="3" t="s">
        <v>0</v>
      </c>
      <c r="C231" s="6" t="s">
        <v>245</v>
      </c>
      <c r="D231" s="2" t="s">
        <v>7</v>
      </c>
      <c r="F231" s="2" t="b">
        <f t="shared" si="4"/>
        <v>0</v>
      </c>
      <c r="H231" s="18" t="s">
        <v>249</v>
      </c>
    </row>
    <row r="232" spans="1:8" x14ac:dyDescent="0.2">
      <c r="A232" s="3">
        <v>45</v>
      </c>
      <c r="B232" s="3" t="s">
        <v>1</v>
      </c>
      <c r="C232" s="6" t="s">
        <v>246</v>
      </c>
      <c r="D232" s="2" t="s">
        <v>7</v>
      </c>
      <c r="F232" s="2" t="b">
        <f t="shared" si="4"/>
        <v>0</v>
      </c>
      <c r="H232" s="19"/>
    </row>
    <row r="233" spans="1:8" x14ac:dyDescent="0.2">
      <c r="A233" s="3">
        <v>45</v>
      </c>
      <c r="B233" s="3" t="s">
        <v>2</v>
      </c>
      <c r="C233" s="6" t="s">
        <v>247</v>
      </c>
      <c r="D233" s="2" t="s">
        <v>8</v>
      </c>
      <c r="F233" s="2" t="b">
        <f t="shared" si="4"/>
        <v>0</v>
      </c>
      <c r="H233" s="19"/>
    </row>
    <row r="234" spans="1:8" x14ac:dyDescent="0.2">
      <c r="A234" s="3">
        <v>45</v>
      </c>
      <c r="B234" s="3" t="s">
        <v>3</v>
      </c>
      <c r="C234" s="6" t="s">
        <v>248</v>
      </c>
      <c r="D234" s="2" t="s">
        <v>7</v>
      </c>
      <c r="F234" s="2" t="b">
        <f t="shared" si="4"/>
        <v>0</v>
      </c>
      <c r="H234" s="19"/>
    </row>
    <row r="235" spans="1:8" ht="30" customHeight="1" x14ac:dyDescent="0.2">
      <c r="A235" s="3">
        <v>46</v>
      </c>
      <c r="B235" s="18" t="s">
        <v>363</v>
      </c>
      <c r="C235" s="18"/>
      <c r="D235" s="18"/>
      <c r="E235" s="18"/>
      <c r="F235" s="18"/>
    </row>
    <row r="236" spans="1:8" x14ac:dyDescent="0.2">
      <c r="A236" s="3">
        <v>46</v>
      </c>
      <c r="B236" s="3" t="s">
        <v>0</v>
      </c>
      <c r="C236" s="6" t="s">
        <v>250</v>
      </c>
      <c r="D236" s="2" t="s">
        <v>7</v>
      </c>
      <c r="F236" s="2" t="b">
        <f t="shared" si="4"/>
        <v>0</v>
      </c>
      <c r="H236" s="18" t="s">
        <v>253</v>
      </c>
    </row>
    <row r="237" spans="1:8" x14ac:dyDescent="0.2">
      <c r="A237" s="3">
        <v>46</v>
      </c>
      <c r="B237" s="3" t="s">
        <v>1</v>
      </c>
      <c r="C237" s="6" t="s">
        <v>251</v>
      </c>
      <c r="D237" s="2" t="s">
        <v>7</v>
      </c>
      <c r="F237" s="2" t="b">
        <f t="shared" si="4"/>
        <v>0</v>
      </c>
      <c r="H237" s="19"/>
    </row>
    <row r="238" spans="1:8" x14ac:dyDescent="0.2">
      <c r="A238" s="3">
        <v>46</v>
      </c>
      <c r="B238" s="3" t="s">
        <v>2</v>
      </c>
      <c r="C238" s="6" t="s">
        <v>20</v>
      </c>
      <c r="D238" s="2" t="s">
        <v>8</v>
      </c>
      <c r="F238" s="2" t="b">
        <f t="shared" si="4"/>
        <v>0</v>
      </c>
      <c r="H238" s="19"/>
    </row>
    <row r="239" spans="1:8" x14ac:dyDescent="0.2">
      <c r="A239" s="3">
        <v>46</v>
      </c>
      <c r="B239" s="3" t="s">
        <v>3</v>
      </c>
      <c r="C239" s="6" t="s">
        <v>252</v>
      </c>
      <c r="D239" s="2" t="s">
        <v>7</v>
      </c>
      <c r="F239" s="2" t="b">
        <f t="shared" si="4"/>
        <v>0</v>
      </c>
      <c r="H239" s="19"/>
    </row>
    <row r="240" spans="1:8" ht="15" customHeight="1" x14ac:dyDescent="0.2">
      <c r="A240" s="3">
        <v>47</v>
      </c>
      <c r="B240" s="18" t="s">
        <v>254</v>
      </c>
      <c r="C240" s="18"/>
      <c r="D240" s="18"/>
      <c r="E240" s="18"/>
      <c r="F240" s="18"/>
    </row>
    <row r="241" spans="1:8" x14ac:dyDescent="0.2">
      <c r="A241" s="3">
        <v>47</v>
      </c>
      <c r="B241" s="3" t="s">
        <v>0</v>
      </c>
      <c r="C241" s="7" t="s">
        <v>255</v>
      </c>
      <c r="D241" s="2" t="s">
        <v>7</v>
      </c>
      <c r="F241" s="2" t="b">
        <f t="shared" si="4"/>
        <v>0</v>
      </c>
      <c r="H241" s="18" t="s">
        <v>259</v>
      </c>
    </row>
    <row r="242" spans="1:8" x14ac:dyDescent="0.2">
      <c r="A242" s="3">
        <v>47</v>
      </c>
      <c r="B242" s="3" t="s">
        <v>1</v>
      </c>
      <c r="C242" s="6" t="s">
        <v>256</v>
      </c>
      <c r="D242" s="2" t="s">
        <v>7</v>
      </c>
      <c r="F242" s="2" t="b">
        <f t="shared" si="4"/>
        <v>0</v>
      </c>
      <c r="H242" s="19"/>
    </row>
    <row r="243" spans="1:8" x14ac:dyDescent="0.2">
      <c r="A243" s="3">
        <v>47</v>
      </c>
      <c r="B243" s="3" t="s">
        <v>2</v>
      </c>
      <c r="C243" s="7" t="s">
        <v>257</v>
      </c>
      <c r="D243" s="2" t="s">
        <v>7</v>
      </c>
      <c r="F243" s="2" t="b">
        <f t="shared" si="4"/>
        <v>0</v>
      </c>
      <c r="H243" s="19"/>
    </row>
    <row r="244" spans="1:8" ht="26" x14ac:dyDescent="0.2">
      <c r="A244" s="3">
        <v>47</v>
      </c>
      <c r="B244" s="3" t="s">
        <v>3</v>
      </c>
      <c r="C244" s="7" t="s">
        <v>258</v>
      </c>
      <c r="D244" s="2" t="s">
        <v>8</v>
      </c>
      <c r="F244" s="2" t="b">
        <f t="shared" si="4"/>
        <v>0</v>
      </c>
      <c r="H244" s="19"/>
    </row>
    <row r="245" spans="1:8" ht="15" customHeight="1" x14ac:dyDescent="0.2">
      <c r="A245" s="3">
        <v>48</v>
      </c>
      <c r="B245" s="18" t="s">
        <v>260</v>
      </c>
      <c r="C245" s="18"/>
      <c r="D245" s="18"/>
      <c r="E245" s="18"/>
      <c r="F245" s="18"/>
    </row>
    <row r="246" spans="1:8" x14ac:dyDescent="0.2">
      <c r="A246" s="3">
        <v>48</v>
      </c>
      <c r="B246" s="3" t="s">
        <v>0</v>
      </c>
      <c r="C246" s="6" t="s">
        <v>261</v>
      </c>
      <c r="D246" s="2" t="s">
        <v>7</v>
      </c>
      <c r="F246" s="2" t="b">
        <f t="shared" si="4"/>
        <v>0</v>
      </c>
      <c r="H246" s="18" t="s">
        <v>265</v>
      </c>
    </row>
    <row r="247" spans="1:8" x14ac:dyDescent="0.2">
      <c r="A247" s="3">
        <v>48</v>
      </c>
      <c r="B247" s="3" t="s">
        <v>1</v>
      </c>
      <c r="C247" s="6" t="s">
        <v>262</v>
      </c>
      <c r="D247" s="2" t="s">
        <v>7</v>
      </c>
      <c r="F247" s="2" t="b">
        <f t="shared" si="4"/>
        <v>0</v>
      </c>
      <c r="H247" s="19"/>
    </row>
    <row r="248" spans="1:8" x14ac:dyDescent="0.2">
      <c r="A248" s="3">
        <v>48</v>
      </c>
      <c r="B248" s="3" t="s">
        <v>2</v>
      </c>
      <c r="C248" s="6" t="s">
        <v>263</v>
      </c>
      <c r="D248" s="2" t="s">
        <v>8</v>
      </c>
      <c r="F248" s="2" t="b">
        <f t="shared" si="4"/>
        <v>0</v>
      </c>
      <c r="H248" s="19"/>
    </row>
    <row r="249" spans="1:8" x14ac:dyDescent="0.2">
      <c r="A249" s="3">
        <v>48</v>
      </c>
      <c r="B249" s="3" t="s">
        <v>3</v>
      </c>
      <c r="C249" s="6" t="s">
        <v>264</v>
      </c>
      <c r="D249" s="2" t="s">
        <v>7</v>
      </c>
      <c r="F249" s="2" t="b">
        <f t="shared" si="4"/>
        <v>0</v>
      </c>
      <c r="H249" s="19"/>
    </row>
    <row r="250" spans="1:8" ht="67.5" customHeight="1" x14ac:dyDescent="0.2">
      <c r="A250" s="3">
        <v>49</v>
      </c>
      <c r="B250" s="18" t="s">
        <v>365</v>
      </c>
      <c r="C250" s="18"/>
      <c r="D250" s="18"/>
      <c r="E250" s="18"/>
      <c r="F250" s="18"/>
    </row>
    <row r="251" spans="1:8" ht="26" x14ac:dyDescent="0.2">
      <c r="A251" s="3">
        <v>49</v>
      </c>
      <c r="B251" s="3" t="s">
        <v>0</v>
      </c>
      <c r="C251" s="7" t="s">
        <v>266</v>
      </c>
      <c r="D251" s="2" t="s">
        <v>7</v>
      </c>
      <c r="F251" s="2" t="b">
        <f t="shared" si="4"/>
        <v>0</v>
      </c>
      <c r="H251" s="18" t="s">
        <v>270</v>
      </c>
    </row>
    <row r="252" spans="1:8" x14ac:dyDescent="0.2">
      <c r="A252" s="3">
        <v>49</v>
      </c>
      <c r="B252" s="3" t="s">
        <v>1</v>
      </c>
      <c r="C252" s="6" t="s">
        <v>267</v>
      </c>
      <c r="D252" s="2" t="s">
        <v>7</v>
      </c>
      <c r="F252" s="2" t="b">
        <f t="shared" si="4"/>
        <v>0</v>
      </c>
      <c r="H252" s="19"/>
    </row>
    <row r="253" spans="1:8" x14ac:dyDescent="0.2">
      <c r="A253" s="3">
        <v>49</v>
      </c>
      <c r="B253" s="3" t="s">
        <v>2</v>
      </c>
      <c r="C253" s="6" t="s">
        <v>268</v>
      </c>
      <c r="D253" s="2" t="s">
        <v>7</v>
      </c>
      <c r="F253" s="2" t="b">
        <f t="shared" si="4"/>
        <v>0</v>
      </c>
      <c r="H253" s="19"/>
    </row>
    <row r="254" spans="1:8" ht="26" x14ac:dyDescent="0.2">
      <c r="A254" s="3">
        <v>49</v>
      </c>
      <c r="B254" s="3" t="s">
        <v>3</v>
      </c>
      <c r="C254" s="7" t="s">
        <v>269</v>
      </c>
      <c r="D254" s="2" t="s">
        <v>8</v>
      </c>
      <c r="F254" s="2" t="b">
        <f t="shared" si="4"/>
        <v>0</v>
      </c>
      <c r="H254" s="19"/>
    </row>
    <row r="255" spans="1:8" ht="32.25" customHeight="1" x14ac:dyDescent="0.2">
      <c r="A255" s="3">
        <v>50</v>
      </c>
      <c r="B255" s="18" t="s">
        <v>364</v>
      </c>
      <c r="C255" s="18"/>
      <c r="D255" s="18"/>
      <c r="E255" s="18"/>
      <c r="F255" s="18"/>
    </row>
    <row r="256" spans="1:8" x14ac:dyDescent="0.2">
      <c r="A256" s="3">
        <v>50</v>
      </c>
      <c r="B256" s="3" t="s">
        <v>0</v>
      </c>
      <c r="C256" s="6" t="s">
        <v>271</v>
      </c>
      <c r="D256" s="2" t="s">
        <v>8</v>
      </c>
      <c r="F256" s="2" t="b">
        <f t="shared" si="4"/>
        <v>0</v>
      </c>
      <c r="H256" s="18" t="s">
        <v>275</v>
      </c>
    </row>
    <row r="257" spans="1:8" x14ac:dyDescent="0.2">
      <c r="A257" s="3">
        <v>50</v>
      </c>
      <c r="B257" s="3" t="s">
        <v>1</v>
      </c>
      <c r="C257" s="6" t="s">
        <v>272</v>
      </c>
      <c r="D257" s="2" t="s">
        <v>7</v>
      </c>
      <c r="F257" s="2" t="b">
        <f t="shared" si="4"/>
        <v>0</v>
      </c>
      <c r="H257" s="19"/>
    </row>
    <row r="258" spans="1:8" x14ac:dyDescent="0.2">
      <c r="A258" s="3">
        <v>50</v>
      </c>
      <c r="B258" s="3" t="s">
        <v>2</v>
      </c>
      <c r="C258" s="7" t="s">
        <v>273</v>
      </c>
      <c r="D258" s="2" t="s">
        <v>7</v>
      </c>
      <c r="F258" s="2" t="b">
        <f t="shared" si="4"/>
        <v>0</v>
      </c>
      <c r="H258" s="19"/>
    </row>
    <row r="259" spans="1:8" ht="26" x14ac:dyDescent="0.2">
      <c r="A259" s="3">
        <v>50</v>
      </c>
      <c r="B259" s="3" t="s">
        <v>3</v>
      </c>
      <c r="C259" s="7" t="s">
        <v>274</v>
      </c>
      <c r="D259" s="2" t="s">
        <v>7</v>
      </c>
      <c r="F259" s="2" t="b">
        <f t="shared" si="4"/>
        <v>0</v>
      </c>
      <c r="H259" s="19"/>
    </row>
    <row r="260" spans="1:8" ht="15" customHeight="1" x14ac:dyDescent="0.2">
      <c r="A260" s="3">
        <v>51</v>
      </c>
      <c r="B260" s="18" t="s">
        <v>276</v>
      </c>
      <c r="C260" s="18"/>
      <c r="D260" s="18"/>
      <c r="E260" s="18"/>
      <c r="F260" s="18"/>
    </row>
    <row r="261" spans="1:8" x14ac:dyDescent="0.2">
      <c r="A261" s="3">
        <v>51</v>
      </c>
      <c r="B261" s="3" t="s">
        <v>0</v>
      </c>
      <c r="C261" s="6" t="s">
        <v>277</v>
      </c>
      <c r="D261" s="2" t="s">
        <v>7</v>
      </c>
      <c r="F261" s="2" t="b">
        <f t="shared" si="4"/>
        <v>0</v>
      </c>
      <c r="H261" s="18" t="s">
        <v>281</v>
      </c>
    </row>
    <row r="262" spans="1:8" x14ac:dyDescent="0.2">
      <c r="A262" s="3">
        <v>51</v>
      </c>
      <c r="B262" s="3" t="s">
        <v>1</v>
      </c>
      <c r="C262" s="6" t="s">
        <v>278</v>
      </c>
      <c r="D262" s="2" t="s">
        <v>7</v>
      </c>
      <c r="F262" s="2" t="b">
        <f t="shared" si="4"/>
        <v>0</v>
      </c>
      <c r="H262" s="19"/>
    </row>
    <row r="263" spans="1:8" x14ac:dyDescent="0.2">
      <c r="A263" s="3">
        <v>51</v>
      </c>
      <c r="B263" s="3" t="s">
        <v>2</v>
      </c>
      <c r="C263" s="6" t="s">
        <v>279</v>
      </c>
      <c r="D263" s="2" t="s">
        <v>7</v>
      </c>
      <c r="F263" s="2" t="b">
        <f t="shared" ref="F263:F325" si="5">D263=E263</f>
        <v>0</v>
      </c>
      <c r="H263" s="19"/>
    </row>
    <row r="264" spans="1:8" x14ac:dyDescent="0.2">
      <c r="A264" s="3">
        <v>51</v>
      </c>
      <c r="B264" s="3" t="s">
        <v>3</v>
      </c>
      <c r="C264" s="6" t="s">
        <v>280</v>
      </c>
      <c r="D264" s="2" t="s">
        <v>8</v>
      </c>
      <c r="F264" s="2" t="b">
        <f t="shared" si="5"/>
        <v>0</v>
      </c>
      <c r="H264" s="19"/>
    </row>
    <row r="265" spans="1:8" ht="54" customHeight="1" x14ac:dyDescent="0.2">
      <c r="A265" s="3">
        <v>52</v>
      </c>
      <c r="B265" s="18" t="s">
        <v>366</v>
      </c>
      <c r="C265" s="18"/>
      <c r="D265" s="18"/>
      <c r="E265" s="18"/>
      <c r="F265" s="18"/>
    </row>
    <row r="266" spans="1:8" x14ac:dyDescent="0.2">
      <c r="A266" s="3">
        <v>52</v>
      </c>
      <c r="B266" s="3" t="s">
        <v>0</v>
      </c>
      <c r="C266" s="6" t="s">
        <v>42</v>
      </c>
      <c r="D266" s="2" t="s">
        <v>7</v>
      </c>
      <c r="F266" s="2" t="b">
        <f t="shared" si="5"/>
        <v>0</v>
      </c>
      <c r="H266" s="18" t="s">
        <v>284</v>
      </c>
    </row>
    <row r="267" spans="1:8" x14ac:dyDescent="0.2">
      <c r="A267" s="3">
        <v>52</v>
      </c>
      <c r="B267" s="3" t="s">
        <v>1</v>
      </c>
      <c r="C267" s="6" t="s">
        <v>32</v>
      </c>
      <c r="D267" s="2" t="s">
        <v>7</v>
      </c>
      <c r="F267" s="2" t="b">
        <f t="shared" si="5"/>
        <v>0</v>
      </c>
      <c r="H267" s="19"/>
    </row>
    <row r="268" spans="1:8" x14ac:dyDescent="0.2">
      <c r="A268" s="3">
        <v>52</v>
      </c>
      <c r="B268" s="3" t="s">
        <v>2</v>
      </c>
      <c r="C268" s="6" t="s">
        <v>282</v>
      </c>
      <c r="D268" s="2" t="s">
        <v>8</v>
      </c>
      <c r="F268" s="2" t="b">
        <f t="shared" si="5"/>
        <v>0</v>
      </c>
      <c r="H268" s="19"/>
    </row>
    <row r="269" spans="1:8" x14ac:dyDescent="0.2">
      <c r="A269" s="3">
        <v>52</v>
      </c>
      <c r="B269" s="3" t="s">
        <v>3</v>
      </c>
      <c r="C269" s="6" t="s">
        <v>283</v>
      </c>
      <c r="D269" s="2" t="s">
        <v>7</v>
      </c>
      <c r="F269" s="2" t="b">
        <f t="shared" si="5"/>
        <v>0</v>
      </c>
      <c r="H269" s="19"/>
    </row>
    <row r="270" spans="1:8" ht="15" customHeight="1" x14ac:dyDescent="0.2">
      <c r="A270" s="3">
        <v>53</v>
      </c>
      <c r="B270" s="18" t="s">
        <v>285</v>
      </c>
      <c r="C270" s="18"/>
      <c r="D270" s="18"/>
      <c r="E270" s="18"/>
      <c r="F270" s="18"/>
    </row>
    <row r="271" spans="1:8" x14ac:dyDescent="0.2">
      <c r="A271" s="3">
        <v>53</v>
      </c>
      <c r="B271" s="3" t="s">
        <v>0</v>
      </c>
      <c r="C271" s="8">
        <v>1</v>
      </c>
      <c r="D271" s="2" t="s">
        <v>7</v>
      </c>
      <c r="F271" s="2" t="b">
        <f t="shared" si="5"/>
        <v>0</v>
      </c>
      <c r="H271" s="18" t="s">
        <v>286</v>
      </c>
    </row>
    <row r="272" spans="1:8" x14ac:dyDescent="0.2">
      <c r="A272" s="3">
        <v>53</v>
      </c>
      <c r="B272" s="3" t="s">
        <v>1</v>
      </c>
      <c r="C272" s="8">
        <v>5</v>
      </c>
      <c r="D272" s="2" t="s">
        <v>8</v>
      </c>
      <c r="F272" s="2" t="b">
        <f t="shared" si="5"/>
        <v>0</v>
      </c>
      <c r="H272" s="19"/>
    </row>
    <row r="273" spans="1:8" x14ac:dyDescent="0.2">
      <c r="A273" s="3">
        <v>53</v>
      </c>
      <c r="B273" s="3" t="s">
        <v>2</v>
      </c>
      <c r="C273" s="8">
        <v>2</v>
      </c>
      <c r="D273" s="2" t="s">
        <v>7</v>
      </c>
      <c r="F273" s="2" t="b">
        <f t="shared" si="5"/>
        <v>0</v>
      </c>
      <c r="H273" s="19"/>
    </row>
    <row r="274" spans="1:8" x14ac:dyDescent="0.2">
      <c r="A274" s="3">
        <v>53</v>
      </c>
      <c r="B274" s="3" t="s">
        <v>3</v>
      </c>
      <c r="C274" s="8">
        <v>25</v>
      </c>
      <c r="D274" s="2" t="s">
        <v>7</v>
      </c>
      <c r="F274" s="2" t="b">
        <f t="shared" si="5"/>
        <v>0</v>
      </c>
      <c r="H274" s="19"/>
    </row>
    <row r="275" spans="1:8" ht="35.25" customHeight="1" x14ac:dyDescent="0.2">
      <c r="A275" s="3">
        <v>54</v>
      </c>
      <c r="B275" s="18" t="s">
        <v>367</v>
      </c>
      <c r="C275" s="18"/>
      <c r="D275" s="18"/>
      <c r="E275" s="18"/>
      <c r="F275" s="18"/>
    </row>
    <row r="276" spans="1:8" x14ac:dyDescent="0.2">
      <c r="A276" s="3">
        <v>54</v>
      </c>
      <c r="B276" s="3" t="s">
        <v>0</v>
      </c>
      <c r="C276" s="6" t="s">
        <v>287</v>
      </c>
      <c r="D276" s="2" t="s">
        <v>8</v>
      </c>
      <c r="F276" s="2" t="b">
        <f t="shared" si="5"/>
        <v>0</v>
      </c>
      <c r="H276" s="18" t="s">
        <v>291</v>
      </c>
    </row>
    <row r="277" spans="1:8" x14ac:dyDescent="0.2">
      <c r="A277" s="3">
        <v>54</v>
      </c>
      <c r="B277" s="3" t="s">
        <v>1</v>
      </c>
      <c r="C277" s="6" t="s">
        <v>288</v>
      </c>
      <c r="D277" s="2" t="s">
        <v>7</v>
      </c>
      <c r="F277" s="2" t="b">
        <f t="shared" si="5"/>
        <v>0</v>
      </c>
      <c r="H277" s="19"/>
    </row>
    <row r="278" spans="1:8" x14ac:dyDescent="0.2">
      <c r="A278" s="3">
        <v>54</v>
      </c>
      <c r="B278" s="3" t="s">
        <v>2</v>
      </c>
      <c r="C278" s="6" t="s">
        <v>289</v>
      </c>
      <c r="D278" s="2" t="s">
        <v>7</v>
      </c>
      <c r="F278" s="2" t="b">
        <f t="shared" si="5"/>
        <v>0</v>
      </c>
      <c r="H278" s="19"/>
    </row>
    <row r="279" spans="1:8" x14ac:dyDescent="0.2">
      <c r="A279" s="3">
        <v>54</v>
      </c>
      <c r="B279" s="3" t="s">
        <v>3</v>
      </c>
      <c r="C279" s="6" t="s">
        <v>290</v>
      </c>
      <c r="D279" s="2" t="s">
        <v>7</v>
      </c>
      <c r="F279" s="2" t="b">
        <f t="shared" si="5"/>
        <v>0</v>
      </c>
      <c r="H279" s="19"/>
    </row>
    <row r="280" spans="1:8" ht="15" customHeight="1" x14ac:dyDescent="0.2">
      <c r="A280" s="3">
        <v>55</v>
      </c>
      <c r="B280" s="18" t="s">
        <v>292</v>
      </c>
      <c r="C280" s="18"/>
      <c r="D280" s="18"/>
      <c r="E280" s="18"/>
      <c r="F280" s="18"/>
    </row>
    <row r="281" spans="1:8" x14ac:dyDescent="0.2">
      <c r="A281" s="3">
        <v>55</v>
      </c>
      <c r="B281" s="3" t="s">
        <v>0</v>
      </c>
      <c r="C281" s="6" t="s">
        <v>11</v>
      </c>
      <c r="D281" s="2" t="s">
        <v>7</v>
      </c>
      <c r="F281" s="2" t="b">
        <f t="shared" si="5"/>
        <v>0</v>
      </c>
      <c r="H281" s="18" t="s">
        <v>294</v>
      </c>
    </row>
    <row r="282" spans="1:8" x14ac:dyDescent="0.2">
      <c r="A282" s="3">
        <v>55</v>
      </c>
      <c r="B282" s="3" t="s">
        <v>1</v>
      </c>
      <c r="C282" s="6" t="s">
        <v>31</v>
      </c>
      <c r="D282" s="2" t="s">
        <v>7</v>
      </c>
      <c r="F282" s="2" t="b">
        <f t="shared" si="5"/>
        <v>0</v>
      </c>
      <c r="H282" s="19"/>
    </row>
    <row r="283" spans="1:8" x14ac:dyDescent="0.2">
      <c r="A283" s="3">
        <v>55</v>
      </c>
      <c r="B283" s="3" t="s">
        <v>2</v>
      </c>
      <c r="C283" s="6" t="s">
        <v>293</v>
      </c>
      <c r="D283" s="2" t="s">
        <v>8</v>
      </c>
      <c r="F283" s="2" t="b">
        <f t="shared" si="5"/>
        <v>0</v>
      </c>
      <c r="H283" s="19"/>
    </row>
    <row r="284" spans="1:8" x14ac:dyDescent="0.2">
      <c r="A284" s="3">
        <v>55</v>
      </c>
      <c r="B284" s="3" t="s">
        <v>3</v>
      </c>
      <c r="C284" s="6" t="s">
        <v>12</v>
      </c>
      <c r="D284" s="2" t="s">
        <v>7</v>
      </c>
      <c r="F284" s="2" t="b">
        <f t="shared" si="5"/>
        <v>0</v>
      </c>
      <c r="H284" s="19"/>
    </row>
    <row r="285" spans="1:8" x14ac:dyDescent="0.2">
      <c r="A285" s="3">
        <v>55</v>
      </c>
      <c r="B285" s="3" t="s">
        <v>6</v>
      </c>
      <c r="C285" s="6" t="s">
        <v>13</v>
      </c>
      <c r="D285" s="2" t="s">
        <v>7</v>
      </c>
      <c r="F285" s="2" t="b">
        <f t="shared" si="5"/>
        <v>0</v>
      </c>
      <c r="H285" s="19"/>
    </row>
    <row r="286" spans="1:8" ht="59.25" customHeight="1" x14ac:dyDescent="0.2">
      <c r="A286" s="3">
        <v>56</v>
      </c>
      <c r="B286" s="18" t="s">
        <v>368</v>
      </c>
      <c r="C286" s="18"/>
      <c r="D286" s="18"/>
      <c r="E286" s="18"/>
      <c r="F286" s="18"/>
    </row>
    <row r="287" spans="1:8" x14ac:dyDescent="0.2">
      <c r="A287" s="3">
        <v>56</v>
      </c>
      <c r="B287" s="3" t="s">
        <v>0</v>
      </c>
      <c r="C287" s="6" t="s">
        <v>295</v>
      </c>
      <c r="D287" s="2" t="s">
        <v>7</v>
      </c>
      <c r="F287" s="2" t="b">
        <f t="shared" si="5"/>
        <v>0</v>
      </c>
      <c r="H287" s="18" t="s">
        <v>299</v>
      </c>
    </row>
    <row r="288" spans="1:8" x14ac:dyDescent="0.2">
      <c r="A288" s="3">
        <v>56</v>
      </c>
      <c r="B288" s="3" t="s">
        <v>1</v>
      </c>
      <c r="C288" s="6" t="s">
        <v>296</v>
      </c>
      <c r="D288" s="2" t="s">
        <v>7</v>
      </c>
      <c r="F288" s="2" t="b">
        <f t="shared" si="5"/>
        <v>0</v>
      </c>
      <c r="H288" s="19"/>
    </row>
    <row r="289" spans="1:8" x14ac:dyDescent="0.2">
      <c r="A289" s="3">
        <v>56</v>
      </c>
      <c r="B289" s="3" t="s">
        <v>2</v>
      </c>
      <c r="C289" s="6" t="s">
        <v>297</v>
      </c>
      <c r="D289" s="2" t="s">
        <v>8</v>
      </c>
      <c r="F289" s="2" t="b">
        <f t="shared" si="5"/>
        <v>0</v>
      </c>
      <c r="H289" s="19"/>
    </row>
    <row r="290" spans="1:8" x14ac:dyDescent="0.2">
      <c r="A290" s="3">
        <v>56</v>
      </c>
      <c r="B290" s="3" t="s">
        <v>3</v>
      </c>
      <c r="C290" s="6" t="s">
        <v>298</v>
      </c>
      <c r="D290" s="2" t="s">
        <v>7</v>
      </c>
      <c r="F290" s="2" t="b">
        <f t="shared" si="5"/>
        <v>0</v>
      </c>
      <c r="H290" s="19"/>
    </row>
    <row r="291" spans="1:8" ht="36" customHeight="1" x14ac:dyDescent="0.2">
      <c r="A291" s="3">
        <v>57</v>
      </c>
      <c r="B291" s="18" t="s">
        <v>369</v>
      </c>
      <c r="C291" s="18"/>
      <c r="D291" s="18"/>
      <c r="E291" s="18"/>
      <c r="F291" s="18"/>
    </row>
    <row r="292" spans="1:8" x14ac:dyDescent="0.2">
      <c r="A292" s="3">
        <v>57</v>
      </c>
      <c r="B292" s="3" t="s">
        <v>0</v>
      </c>
      <c r="C292" s="6" t="s">
        <v>300</v>
      </c>
      <c r="D292" s="2" t="s">
        <v>8</v>
      </c>
      <c r="F292" s="2" t="b">
        <f t="shared" si="5"/>
        <v>0</v>
      </c>
      <c r="H292" s="18" t="s">
        <v>304</v>
      </c>
    </row>
    <row r="293" spans="1:8" x14ac:dyDescent="0.2">
      <c r="A293" s="3">
        <v>57</v>
      </c>
      <c r="B293" s="3" t="s">
        <v>1</v>
      </c>
      <c r="C293" s="6" t="s">
        <v>301</v>
      </c>
      <c r="D293" s="2" t="s">
        <v>7</v>
      </c>
      <c r="F293" s="2" t="b">
        <f t="shared" si="5"/>
        <v>0</v>
      </c>
      <c r="H293" s="19"/>
    </row>
    <row r="294" spans="1:8" x14ac:dyDescent="0.2">
      <c r="A294" s="3">
        <v>57</v>
      </c>
      <c r="B294" s="3" t="s">
        <v>2</v>
      </c>
      <c r="C294" s="6" t="s">
        <v>302</v>
      </c>
      <c r="D294" s="2" t="s">
        <v>8</v>
      </c>
      <c r="F294" s="2" t="b">
        <f t="shared" si="5"/>
        <v>0</v>
      </c>
      <c r="H294" s="19"/>
    </row>
    <row r="295" spans="1:8" x14ac:dyDescent="0.2">
      <c r="A295" s="3">
        <v>57</v>
      </c>
      <c r="B295" s="3" t="s">
        <v>3</v>
      </c>
      <c r="C295" s="6" t="s">
        <v>303</v>
      </c>
      <c r="D295" s="2" t="s">
        <v>7</v>
      </c>
      <c r="F295" s="2" t="b">
        <f t="shared" si="5"/>
        <v>0</v>
      </c>
      <c r="H295" s="19"/>
    </row>
    <row r="296" spans="1:8" ht="15" customHeight="1" x14ac:dyDescent="0.2">
      <c r="A296" s="3">
        <v>58</v>
      </c>
      <c r="B296" s="18" t="s">
        <v>305</v>
      </c>
      <c r="C296" s="18"/>
      <c r="D296" s="18"/>
      <c r="E296" s="18"/>
      <c r="F296" s="18"/>
    </row>
    <row r="297" spans="1:8" x14ac:dyDescent="0.2">
      <c r="A297" s="3">
        <v>58</v>
      </c>
      <c r="B297" s="3" t="s">
        <v>0</v>
      </c>
      <c r="C297" s="6" t="s">
        <v>101</v>
      </c>
      <c r="D297" s="2" t="s">
        <v>8</v>
      </c>
      <c r="F297" s="2" t="b">
        <f t="shared" si="5"/>
        <v>0</v>
      </c>
      <c r="H297" s="18" t="s">
        <v>306</v>
      </c>
    </row>
    <row r="298" spans="1:8" x14ac:dyDescent="0.2">
      <c r="A298" s="3">
        <v>58</v>
      </c>
      <c r="B298" s="3" t="s">
        <v>1</v>
      </c>
      <c r="C298" s="6" t="s">
        <v>39</v>
      </c>
      <c r="D298" s="2" t="s">
        <v>7</v>
      </c>
      <c r="F298" s="2" t="b">
        <f t="shared" si="5"/>
        <v>0</v>
      </c>
      <c r="H298" s="19"/>
    </row>
    <row r="299" spans="1:8" x14ac:dyDescent="0.2">
      <c r="A299" s="3">
        <v>58</v>
      </c>
      <c r="B299" s="3" t="s">
        <v>2</v>
      </c>
      <c r="C299" s="6" t="s">
        <v>15</v>
      </c>
      <c r="D299" s="2" t="s">
        <v>7</v>
      </c>
      <c r="F299" s="2" t="b">
        <f t="shared" si="5"/>
        <v>0</v>
      </c>
      <c r="H299" s="19"/>
    </row>
    <row r="300" spans="1:8" x14ac:dyDescent="0.2">
      <c r="A300" s="3">
        <v>58</v>
      </c>
      <c r="B300" s="3" t="s">
        <v>3</v>
      </c>
      <c r="C300" s="6" t="s">
        <v>16</v>
      </c>
      <c r="D300" s="2" t="s">
        <v>7</v>
      </c>
      <c r="F300" s="2" t="b">
        <f t="shared" si="5"/>
        <v>0</v>
      </c>
      <c r="H300" s="19"/>
    </row>
    <row r="301" spans="1:8" ht="32.25" customHeight="1" x14ac:dyDescent="0.2">
      <c r="A301" s="3">
        <v>59</v>
      </c>
      <c r="B301" s="18" t="s">
        <v>370</v>
      </c>
      <c r="C301" s="18"/>
      <c r="D301" s="18"/>
      <c r="E301" s="18"/>
      <c r="F301" s="18"/>
    </row>
    <row r="302" spans="1:8" x14ac:dyDescent="0.2">
      <c r="A302" s="3">
        <v>59</v>
      </c>
      <c r="B302" s="3" t="s">
        <v>0</v>
      </c>
      <c r="C302" s="6" t="s">
        <v>236</v>
      </c>
      <c r="D302" s="2" t="s">
        <v>7</v>
      </c>
      <c r="F302" s="2" t="b">
        <f t="shared" si="5"/>
        <v>0</v>
      </c>
      <c r="H302" s="18" t="s">
        <v>310</v>
      </c>
    </row>
    <row r="303" spans="1:8" x14ac:dyDescent="0.2">
      <c r="A303" s="3">
        <v>59</v>
      </c>
      <c r="B303" s="3" t="s">
        <v>1</v>
      </c>
      <c r="C303" s="6" t="s">
        <v>307</v>
      </c>
      <c r="D303" s="2" t="s">
        <v>7</v>
      </c>
      <c r="F303" s="2" t="b">
        <f t="shared" si="5"/>
        <v>0</v>
      </c>
      <c r="H303" s="19"/>
    </row>
    <row r="304" spans="1:8" x14ac:dyDescent="0.2">
      <c r="A304" s="3">
        <v>59</v>
      </c>
      <c r="B304" s="3" t="s">
        <v>2</v>
      </c>
      <c r="C304" s="6" t="s">
        <v>308</v>
      </c>
      <c r="D304" s="2" t="s">
        <v>7</v>
      </c>
      <c r="F304" s="2" t="b">
        <f t="shared" si="5"/>
        <v>0</v>
      </c>
      <c r="H304" s="19"/>
    </row>
    <row r="305" spans="1:8" x14ac:dyDescent="0.2">
      <c r="A305" s="3">
        <v>59</v>
      </c>
      <c r="B305" s="3" t="s">
        <v>3</v>
      </c>
      <c r="C305" s="6" t="s">
        <v>309</v>
      </c>
      <c r="D305" s="2" t="s">
        <v>8</v>
      </c>
      <c r="F305" s="2" t="b">
        <f t="shared" si="5"/>
        <v>0</v>
      </c>
      <c r="H305" s="19"/>
    </row>
    <row r="306" spans="1:8" ht="33" customHeight="1" x14ac:dyDescent="0.2">
      <c r="A306" s="3">
        <v>60</v>
      </c>
      <c r="B306" s="18" t="s">
        <v>371</v>
      </c>
      <c r="C306" s="18"/>
      <c r="D306" s="18"/>
      <c r="E306" s="18"/>
      <c r="F306" s="18"/>
    </row>
    <row r="307" spans="1:8" x14ac:dyDescent="0.2">
      <c r="A307" s="3">
        <v>60</v>
      </c>
      <c r="B307" s="3" t="s">
        <v>0</v>
      </c>
      <c r="C307" s="6" t="s">
        <v>114</v>
      </c>
      <c r="D307" s="2" t="s">
        <v>7</v>
      </c>
      <c r="F307" s="2" t="b">
        <f t="shared" si="5"/>
        <v>0</v>
      </c>
      <c r="H307" s="18" t="s">
        <v>314</v>
      </c>
    </row>
    <row r="308" spans="1:8" x14ac:dyDescent="0.2">
      <c r="A308" s="3">
        <v>60</v>
      </c>
      <c r="B308" s="3" t="s">
        <v>1</v>
      </c>
      <c r="C308" s="6" t="s">
        <v>311</v>
      </c>
      <c r="D308" s="2" t="s">
        <v>7</v>
      </c>
      <c r="F308" s="2" t="b">
        <f t="shared" si="5"/>
        <v>0</v>
      </c>
      <c r="H308" s="19"/>
    </row>
    <row r="309" spans="1:8" x14ac:dyDescent="0.2">
      <c r="A309" s="3">
        <v>60</v>
      </c>
      <c r="B309" s="3" t="s">
        <v>2</v>
      </c>
      <c r="C309" s="6" t="s">
        <v>312</v>
      </c>
      <c r="D309" s="2" t="s">
        <v>8</v>
      </c>
      <c r="F309" s="2" t="b">
        <f t="shared" si="5"/>
        <v>0</v>
      </c>
      <c r="H309" s="19"/>
    </row>
    <row r="310" spans="1:8" x14ac:dyDescent="0.2">
      <c r="A310" s="3">
        <v>60</v>
      </c>
      <c r="B310" s="3" t="s">
        <v>3</v>
      </c>
      <c r="C310" s="6" t="s">
        <v>313</v>
      </c>
      <c r="D310" s="2" t="s">
        <v>7</v>
      </c>
      <c r="F310" s="2" t="b">
        <f t="shared" si="5"/>
        <v>0</v>
      </c>
      <c r="H310" s="19"/>
    </row>
    <row r="311" spans="1:8" ht="140.25" customHeight="1" x14ac:dyDescent="0.2">
      <c r="A311" s="3">
        <v>61</v>
      </c>
      <c r="B311" s="18" t="s">
        <v>315</v>
      </c>
      <c r="C311" s="18"/>
      <c r="D311" s="18"/>
      <c r="E311" s="18"/>
      <c r="F311" s="18"/>
    </row>
    <row r="312" spans="1:8" x14ac:dyDescent="0.2">
      <c r="A312" s="3">
        <v>61</v>
      </c>
      <c r="B312" s="3" t="s">
        <v>0</v>
      </c>
      <c r="C312" s="6" t="s">
        <v>316</v>
      </c>
      <c r="D312" s="2" t="s">
        <v>7</v>
      </c>
      <c r="F312" s="2" t="b">
        <f t="shared" si="5"/>
        <v>0</v>
      </c>
      <c r="H312" s="18" t="s">
        <v>320</v>
      </c>
    </row>
    <row r="313" spans="1:8" x14ac:dyDescent="0.2">
      <c r="A313" s="3">
        <v>61</v>
      </c>
      <c r="B313" s="3" t="s">
        <v>1</v>
      </c>
      <c r="C313" s="6" t="s">
        <v>317</v>
      </c>
      <c r="D313" s="2" t="s">
        <v>7</v>
      </c>
      <c r="F313" s="2" t="b">
        <f t="shared" si="5"/>
        <v>0</v>
      </c>
      <c r="H313" s="19"/>
    </row>
    <row r="314" spans="1:8" x14ac:dyDescent="0.2">
      <c r="A314" s="3">
        <v>61</v>
      </c>
      <c r="B314" s="3" t="s">
        <v>2</v>
      </c>
      <c r="C314" s="6" t="s">
        <v>318</v>
      </c>
      <c r="D314" s="2" t="s">
        <v>7</v>
      </c>
      <c r="F314" s="2" t="b">
        <f t="shared" si="5"/>
        <v>0</v>
      </c>
      <c r="H314" s="19"/>
    </row>
    <row r="315" spans="1:8" x14ac:dyDescent="0.2">
      <c r="A315" s="3">
        <v>61</v>
      </c>
      <c r="B315" s="3" t="s">
        <v>3</v>
      </c>
      <c r="C315" s="6" t="s">
        <v>319</v>
      </c>
      <c r="D315" s="2" t="s">
        <v>8</v>
      </c>
      <c r="F315" s="2" t="b">
        <f t="shared" si="5"/>
        <v>0</v>
      </c>
      <c r="H315" s="19"/>
    </row>
    <row r="316" spans="1:8" ht="42" customHeight="1" x14ac:dyDescent="0.2">
      <c r="A316" s="3">
        <v>62</v>
      </c>
      <c r="B316" s="18" t="s">
        <v>372</v>
      </c>
      <c r="C316" s="18"/>
      <c r="D316" s="18"/>
      <c r="E316" s="18"/>
      <c r="F316" s="18"/>
    </row>
    <row r="317" spans="1:8" x14ac:dyDescent="0.2">
      <c r="A317" s="3">
        <v>62</v>
      </c>
      <c r="B317" s="3" t="s">
        <v>0</v>
      </c>
      <c r="C317" s="6" t="s">
        <v>5</v>
      </c>
      <c r="D317" s="2" t="s">
        <v>7</v>
      </c>
      <c r="F317" s="2" t="b">
        <f t="shared" si="5"/>
        <v>0</v>
      </c>
      <c r="H317" s="18" t="s">
        <v>324</v>
      </c>
    </row>
    <row r="318" spans="1:8" x14ac:dyDescent="0.2">
      <c r="A318" s="3">
        <v>62</v>
      </c>
      <c r="B318" s="3" t="s">
        <v>1</v>
      </c>
      <c r="C318" s="6" t="s">
        <v>321</v>
      </c>
      <c r="D318" s="2" t="s">
        <v>8</v>
      </c>
      <c r="F318" s="2" t="b">
        <f t="shared" si="5"/>
        <v>0</v>
      </c>
      <c r="H318" s="19"/>
    </row>
    <row r="319" spans="1:8" x14ac:dyDescent="0.2">
      <c r="A319" s="3">
        <v>62</v>
      </c>
      <c r="B319" s="3" t="s">
        <v>2</v>
      </c>
      <c r="C319" s="6" t="s">
        <v>322</v>
      </c>
      <c r="D319" s="2" t="s">
        <v>7</v>
      </c>
      <c r="F319" s="2" t="b">
        <f t="shared" si="5"/>
        <v>0</v>
      </c>
      <c r="H319" s="19"/>
    </row>
    <row r="320" spans="1:8" x14ac:dyDescent="0.2">
      <c r="A320" s="3">
        <v>62</v>
      </c>
      <c r="B320" s="3" t="s">
        <v>3</v>
      </c>
      <c r="C320" s="6" t="s">
        <v>323</v>
      </c>
      <c r="D320" s="2" t="s">
        <v>7</v>
      </c>
      <c r="F320" s="2" t="b">
        <f t="shared" si="5"/>
        <v>0</v>
      </c>
      <c r="H320" s="19"/>
    </row>
    <row r="321" spans="1:8" ht="35.25" customHeight="1" x14ac:dyDescent="0.2">
      <c r="A321" s="3">
        <v>63</v>
      </c>
      <c r="B321" s="18" t="s">
        <v>373</v>
      </c>
      <c r="C321" s="18"/>
      <c r="D321" s="18"/>
      <c r="E321" s="18"/>
      <c r="F321" s="18"/>
    </row>
    <row r="322" spans="1:8" x14ac:dyDescent="0.2">
      <c r="A322" s="3">
        <v>63</v>
      </c>
      <c r="B322" s="3" t="s">
        <v>0</v>
      </c>
      <c r="C322" s="6" t="s">
        <v>325</v>
      </c>
      <c r="D322" s="2" t="s">
        <v>8</v>
      </c>
      <c r="F322" s="2" t="b">
        <f t="shared" si="5"/>
        <v>0</v>
      </c>
      <c r="H322" s="18" t="s">
        <v>328</v>
      </c>
    </row>
    <row r="323" spans="1:8" x14ac:dyDescent="0.2">
      <c r="A323" s="3">
        <v>63</v>
      </c>
      <c r="B323" s="3" t="s">
        <v>1</v>
      </c>
      <c r="C323" s="6" t="s">
        <v>326</v>
      </c>
      <c r="D323" s="2" t="s">
        <v>7</v>
      </c>
      <c r="F323" s="2" t="b">
        <f t="shared" si="5"/>
        <v>0</v>
      </c>
      <c r="H323" s="19"/>
    </row>
    <row r="324" spans="1:8" x14ac:dyDescent="0.2">
      <c r="A324" s="3">
        <v>63</v>
      </c>
      <c r="B324" s="3" t="s">
        <v>2</v>
      </c>
      <c r="C324" s="6" t="s">
        <v>14</v>
      </c>
      <c r="D324" s="2" t="s">
        <v>7</v>
      </c>
      <c r="F324" s="2" t="b">
        <f t="shared" si="5"/>
        <v>0</v>
      </c>
      <c r="H324" s="19"/>
    </row>
    <row r="325" spans="1:8" x14ac:dyDescent="0.2">
      <c r="A325" s="3">
        <v>63</v>
      </c>
      <c r="B325" s="3" t="s">
        <v>3</v>
      </c>
      <c r="C325" s="6" t="s">
        <v>327</v>
      </c>
      <c r="D325" s="2" t="s">
        <v>7</v>
      </c>
      <c r="F325" s="2" t="b">
        <f t="shared" si="5"/>
        <v>0</v>
      </c>
      <c r="H325" s="19"/>
    </row>
    <row r="326" spans="1:8" ht="108.75" customHeight="1" x14ac:dyDescent="0.2">
      <c r="A326" s="3">
        <v>64</v>
      </c>
      <c r="B326" s="18" t="s">
        <v>329</v>
      </c>
      <c r="C326" s="18"/>
      <c r="D326" s="18"/>
      <c r="E326" s="18"/>
      <c r="F326" s="18"/>
    </row>
    <row r="327" spans="1:8" ht="26" x14ac:dyDescent="0.2">
      <c r="A327" s="3">
        <v>64</v>
      </c>
      <c r="B327" s="3" t="s">
        <v>0</v>
      </c>
      <c r="C327" s="7" t="s">
        <v>330</v>
      </c>
      <c r="D327" s="2" t="s">
        <v>7</v>
      </c>
      <c r="F327" s="2" t="b">
        <f t="shared" ref="F327:F335" si="6">D327=E327</f>
        <v>0</v>
      </c>
      <c r="H327" s="18" t="s">
        <v>334</v>
      </c>
    </row>
    <row r="328" spans="1:8" ht="26" x14ac:dyDescent="0.2">
      <c r="A328" s="3">
        <v>64</v>
      </c>
      <c r="B328" s="3" t="s">
        <v>1</v>
      </c>
      <c r="C328" s="7" t="s">
        <v>331</v>
      </c>
      <c r="D328" s="2" t="s">
        <v>8</v>
      </c>
      <c r="F328" s="2" t="b">
        <f t="shared" si="6"/>
        <v>0</v>
      </c>
      <c r="H328" s="19"/>
    </row>
    <row r="329" spans="1:8" x14ac:dyDescent="0.2">
      <c r="A329" s="3">
        <v>64</v>
      </c>
      <c r="B329" s="3" t="s">
        <v>2</v>
      </c>
      <c r="C329" s="6" t="s">
        <v>332</v>
      </c>
      <c r="D329" s="2" t="s">
        <v>7</v>
      </c>
      <c r="F329" s="2" t="b">
        <f t="shared" si="6"/>
        <v>0</v>
      </c>
      <c r="H329" s="19"/>
    </row>
    <row r="330" spans="1:8" x14ac:dyDescent="0.2">
      <c r="A330" s="3">
        <v>64</v>
      </c>
      <c r="B330" s="3" t="s">
        <v>3</v>
      </c>
      <c r="C330" s="7" t="s">
        <v>333</v>
      </c>
      <c r="D330" s="2" t="s">
        <v>7</v>
      </c>
      <c r="F330" s="2" t="b">
        <f t="shared" si="6"/>
        <v>0</v>
      </c>
      <c r="H330" s="19"/>
    </row>
    <row r="331" spans="1:8" ht="45.75" customHeight="1" x14ac:dyDescent="0.2">
      <c r="A331" s="3">
        <v>65</v>
      </c>
      <c r="B331" s="18" t="s">
        <v>374</v>
      </c>
      <c r="C331" s="18"/>
      <c r="D331" s="18"/>
      <c r="E331" s="18"/>
      <c r="F331" s="18"/>
    </row>
    <row r="332" spans="1:8" x14ac:dyDescent="0.2">
      <c r="A332" s="3">
        <v>65</v>
      </c>
      <c r="B332" s="3" t="s">
        <v>0</v>
      </c>
      <c r="C332" s="6" t="s">
        <v>35</v>
      </c>
      <c r="D332" s="2" t="s">
        <v>7</v>
      </c>
      <c r="F332" s="2" t="b">
        <f t="shared" si="6"/>
        <v>0</v>
      </c>
      <c r="H332" s="18" t="s">
        <v>335</v>
      </c>
    </row>
    <row r="333" spans="1:8" x14ac:dyDescent="0.2">
      <c r="A333" s="3">
        <v>65</v>
      </c>
      <c r="B333" s="3" t="s">
        <v>1</v>
      </c>
      <c r="C333" s="6" t="s">
        <v>43</v>
      </c>
      <c r="D333" s="2" t="s">
        <v>8</v>
      </c>
      <c r="E333" s="2" t="s">
        <v>8</v>
      </c>
      <c r="F333" s="2" t="b">
        <f t="shared" si="6"/>
        <v>1</v>
      </c>
      <c r="H333" s="19"/>
    </row>
    <row r="334" spans="1:8" x14ac:dyDescent="0.2">
      <c r="A334" s="3">
        <v>65</v>
      </c>
      <c r="B334" s="3" t="s">
        <v>2</v>
      </c>
      <c r="C334" s="6" t="s">
        <v>42</v>
      </c>
      <c r="D334" s="2" t="s">
        <v>7</v>
      </c>
      <c r="F334" s="2" t="b">
        <f t="shared" si="6"/>
        <v>0</v>
      </c>
      <c r="H334" s="19"/>
    </row>
    <row r="335" spans="1:8" x14ac:dyDescent="0.2">
      <c r="A335" s="3">
        <v>65</v>
      </c>
      <c r="B335" s="3" t="s">
        <v>3</v>
      </c>
      <c r="C335" s="6" t="s">
        <v>16</v>
      </c>
      <c r="D335" s="2" t="s">
        <v>7</v>
      </c>
      <c r="F335" s="2" t="b">
        <f t="shared" si="6"/>
        <v>0</v>
      </c>
      <c r="H335" s="19"/>
    </row>
  </sheetData>
  <mergeCells count="131">
    <mergeCell ref="H13:H16"/>
    <mergeCell ref="B17:F17"/>
    <mergeCell ref="H18:H21"/>
    <mergeCell ref="B22:F22"/>
    <mergeCell ref="H23:H26"/>
    <mergeCell ref="B27:F27"/>
    <mergeCell ref="A1:C1"/>
    <mergeCell ref="B2:F2"/>
    <mergeCell ref="B7:F7"/>
    <mergeCell ref="H3:H6"/>
    <mergeCell ref="B12:F12"/>
    <mergeCell ref="H8:H11"/>
    <mergeCell ref="B42:F42"/>
    <mergeCell ref="H43:H46"/>
    <mergeCell ref="B47:F47"/>
    <mergeCell ref="H48:H51"/>
    <mergeCell ref="B52:F52"/>
    <mergeCell ref="H53:H58"/>
    <mergeCell ref="H28:H31"/>
    <mergeCell ref="B32:F32"/>
    <mergeCell ref="H33:H36"/>
    <mergeCell ref="B37:F37"/>
    <mergeCell ref="H38:H41"/>
    <mergeCell ref="B75:F75"/>
    <mergeCell ref="H76:H79"/>
    <mergeCell ref="B80:F80"/>
    <mergeCell ref="H81:H84"/>
    <mergeCell ref="B85:F85"/>
    <mergeCell ref="H86:H90"/>
    <mergeCell ref="B59:F59"/>
    <mergeCell ref="H60:H63"/>
    <mergeCell ref="B64:F64"/>
    <mergeCell ref="H65:H69"/>
    <mergeCell ref="B70:F70"/>
    <mergeCell ref="H71:H74"/>
    <mergeCell ref="B107:F107"/>
    <mergeCell ref="H108:H111"/>
    <mergeCell ref="B112:F112"/>
    <mergeCell ref="H113:H116"/>
    <mergeCell ref="B117:F117"/>
    <mergeCell ref="H118:H121"/>
    <mergeCell ref="B91:F91"/>
    <mergeCell ref="H92:H95"/>
    <mergeCell ref="B96:F96"/>
    <mergeCell ref="B101:F101"/>
    <mergeCell ref="H102:H106"/>
    <mergeCell ref="H97:H100"/>
    <mergeCell ref="B137:F137"/>
    <mergeCell ref="H138:H142"/>
    <mergeCell ref="B143:F143"/>
    <mergeCell ref="H144:H147"/>
    <mergeCell ref="B148:F148"/>
    <mergeCell ref="H149:H150"/>
    <mergeCell ref="B122:F122"/>
    <mergeCell ref="H123:H126"/>
    <mergeCell ref="B127:F127"/>
    <mergeCell ref="H128:H131"/>
    <mergeCell ref="B132:F132"/>
    <mergeCell ref="H133:H136"/>
    <mergeCell ref="B167:F167"/>
    <mergeCell ref="H168:H171"/>
    <mergeCell ref="B172:F172"/>
    <mergeCell ref="H173:H176"/>
    <mergeCell ref="B177:F177"/>
    <mergeCell ref="H178:H181"/>
    <mergeCell ref="B151:F151"/>
    <mergeCell ref="H152:H155"/>
    <mergeCell ref="B156:F156"/>
    <mergeCell ref="H157:H161"/>
    <mergeCell ref="B162:F162"/>
    <mergeCell ref="H163:H166"/>
    <mergeCell ref="B198:F198"/>
    <mergeCell ref="H199:H206"/>
    <mergeCell ref="B207:F207"/>
    <mergeCell ref="H208:H211"/>
    <mergeCell ref="B212:F212"/>
    <mergeCell ref="H213:H216"/>
    <mergeCell ref="B182:F182"/>
    <mergeCell ref="H183:H186"/>
    <mergeCell ref="B187:F187"/>
    <mergeCell ref="H188:H191"/>
    <mergeCell ref="B193:F193"/>
    <mergeCell ref="H194:H197"/>
    <mergeCell ref="B230:F230"/>
    <mergeCell ref="H231:H234"/>
    <mergeCell ref="B235:F235"/>
    <mergeCell ref="H236:H239"/>
    <mergeCell ref="B240:F240"/>
    <mergeCell ref="H241:H244"/>
    <mergeCell ref="B217:F217"/>
    <mergeCell ref="H218:H219"/>
    <mergeCell ref="B220:F220"/>
    <mergeCell ref="H221:H224"/>
    <mergeCell ref="B225:F225"/>
    <mergeCell ref="H226:H229"/>
    <mergeCell ref="B260:F260"/>
    <mergeCell ref="H261:H264"/>
    <mergeCell ref="B265:F265"/>
    <mergeCell ref="H266:H269"/>
    <mergeCell ref="B270:F270"/>
    <mergeCell ref="H271:H274"/>
    <mergeCell ref="B245:F245"/>
    <mergeCell ref="H246:H249"/>
    <mergeCell ref="B250:F250"/>
    <mergeCell ref="H251:H254"/>
    <mergeCell ref="B255:F255"/>
    <mergeCell ref="H256:H259"/>
    <mergeCell ref="B291:F291"/>
    <mergeCell ref="H292:H295"/>
    <mergeCell ref="B296:F296"/>
    <mergeCell ref="H297:H300"/>
    <mergeCell ref="B301:F301"/>
    <mergeCell ref="H302:H305"/>
    <mergeCell ref="B275:F275"/>
    <mergeCell ref="H276:H279"/>
    <mergeCell ref="B280:F280"/>
    <mergeCell ref="H281:H285"/>
    <mergeCell ref="B286:F286"/>
    <mergeCell ref="H287:H290"/>
    <mergeCell ref="B321:F321"/>
    <mergeCell ref="H322:H325"/>
    <mergeCell ref="B326:F326"/>
    <mergeCell ref="H327:H330"/>
    <mergeCell ref="B331:F331"/>
    <mergeCell ref="H332:H335"/>
    <mergeCell ref="B306:F306"/>
    <mergeCell ref="H307:H310"/>
    <mergeCell ref="B311:F311"/>
    <mergeCell ref="H312:H315"/>
    <mergeCell ref="B316:F316"/>
    <mergeCell ref="H317:H320"/>
  </mergeCells>
  <conditionalFormatting sqref="F1 F3:F6 F8:F11 F13:F16 F18:F21 F23:F26 F28:F31 F33:F36 F38:F41 F43:F46 F48:F51 F53:F58 F60:F63 F65:F69 F71:F74 F76:F79 F81:F84 F86:F90 F92:F95 F97:F100 F102:F106 F108:F111 F113:F116 F118:F121 F123:F126 F128:F131 F133:F136 F138:F142 F144:F147 F149:F150 F152:F155 F157:F161 F163:F166 F168:F171 F173:F176 F178:F181 F183:F186 F188:F192 F194:F197 F199:F206 F208:F211 F213:F216 F218:F219 F221:F224 F226:F229 F231:F234 F236:F239 F241:F244 F246:F249 F251:F254 F256:F259 F261:F264 F266:F269 F271:F274 F276:F279 F281:F285 F287:F290 F292:F295 F297:F300 F302:F305 F307:F310 F312:F315 F317:F320 F322:F325 F327:F330 F332:F335">
    <cfRule type="cellIs" dxfId="75" priority="1" operator="equal">
      <formula>FALSE</formula>
    </cfRule>
    <cfRule type="cellIs" dxfId="74" priority="2" operator="equal">
      <formula>TRUE</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8"/>
  <sheetViews>
    <sheetView workbookViewId="0">
      <selection sqref="A1:C1"/>
    </sheetView>
  </sheetViews>
  <sheetFormatPr baseColWidth="10" defaultColWidth="9.1640625" defaultRowHeight="15" x14ac:dyDescent="0.2"/>
  <cols>
    <col min="1" max="2" width="4.6640625" style="3" customWidth="1"/>
    <col min="3" max="3" width="70.33203125" style="8" customWidth="1"/>
    <col min="4" max="4" width="4.5" style="3" hidden="1" customWidth="1"/>
    <col min="5" max="6" width="8.6640625" style="2" customWidth="1"/>
    <col min="7" max="7" width="3.6640625" style="2" customWidth="1"/>
    <col min="8" max="8" width="185.6640625" style="3" customWidth="1"/>
    <col min="9" max="16384" width="9.1640625" style="2"/>
  </cols>
  <sheetData>
    <row r="1" spans="1:8" ht="15" customHeight="1" x14ac:dyDescent="0.2">
      <c r="A1" s="20" t="s">
        <v>24</v>
      </c>
      <c r="B1" s="20"/>
      <c r="C1" s="20"/>
      <c r="D1" s="4"/>
      <c r="E1" s="4" t="s">
        <v>26</v>
      </c>
      <c r="F1" s="4" t="s">
        <v>25</v>
      </c>
      <c r="G1" s="5"/>
      <c r="H1" s="4" t="s">
        <v>424</v>
      </c>
    </row>
    <row r="2" spans="1:8" ht="31.5" customHeight="1" x14ac:dyDescent="0.2">
      <c r="A2" s="3">
        <v>1</v>
      </c>
      <c r="B2" s="18" t="s">
        <v>425</v>
      </c>
      <c r="C2" s="18"/>
      <c r="D2" s="18"/>
      <c r="E2" s="18"/>
      <c r="F2" s="18"/>
    </row>
    <row r="3" spans="1:8" ht="15" customHeight="1" x14ac:dyDescent="0.2">
      <c r="A3" s="3">
        <v>1</v>
      </c>
      <c r="B3" s="3" t="s">
        <v>0</v>
      </c>
      <c r="C3" s="8" t="b">
        <v>1</v>
      </c>
      <c r="D3" s="3" t="s">
        <v>7</v>
      </c>
      <c r="F3" s="2" t="b">
        <f>D3=E3</f>
        <v>0</v>
      </c>
      <c r="H3" s="18" t="s">
        <v>426</v>
      </c>
    </row>
    <row r="4" spans="1:8" ht="15" customHeight="1" x14ac:dyDescent="0.2">
      <c r="A4" s="3">
        <v>1</v>
      </c>
      <c r="B4" s="3" t="s">
        <v>1</v>
      </c>
      <c r="C4" s="8" t="b">
        <v>0</v>
      </c>
      <c r="D4" s="3" t="s">
        <v>8</v>
      </c>
      <c r="F4" s="2" t="b">
        <f t="shared" ref="F4:F66" si="0">D4=E4</f>
        <v>0</v>
      </c>
      <c r="H4" s="18"/>
    </row>
    <row r="5" spans="1:8" ht="33.75" customHeight="1" x14ac:dyDescent="0.2">
      <c r="A5" s="3">
        <v>2</v>
      </c>
      <c r="B5" s="18" t="s">
        <v>427</v>
      </c>
      <c r="C5" s="18"/>
      <c r="D5" s="18"/>
      <c r="E5" s="18"/>
      <c r="F5" s="18"/>
    </row>
    <row r="6" spans="1:8" ht="15" customHeight="1" x14ac:dyDescent="0.2">
      <c r="A6" s="3">
        <v>2</v>
      </c>
      <c r="B6" s="3" t="s">
        <v>0</v>
      </c>
      <c r="C6" s="8" t="s">
        <v>429</v>
      </c>
      <c r="D6" s="3" t="s">
        <v>8</v>
      </c>
      <c r="F6" s="2" t="b">
        <f t="shared" si="0"/>
        <v>0</v>
      </c>
      <c r="H6" s="18" t="s">
        <v>428</v>
      </c>
    </row>
    <row r="7" spans="1:8" ht="15" customHeight="1" x14ac:dyDescent="0.2">
      <c r="A7" s="3">
        <v>2</v>
      </c>
      <c r="B7" s="3" t="s">
        <v>1</v>
      </c>
      <c r="C7" s="8" t="s">
        <v>416</v>
      </c>
      <c r="D7" s="3" t="s">
        <v>8</v>
      </c>
      <c r="F7" s="2" t="b">
        <f t="shared" si="0"/>
        <v>0</v>
      </c>
      <c r="H7" s="18"/>
    </row>
    <row r="8" spans="1:8" ht="15" customHeight="1" x14ac:dyDescent="0.2">
      <c r="A8" s="3">
        <v>2</v>
      </c>
      <c r="B8" s="3" t="s">
        <v>2</v>
      </c>
      <c r="C8" s="8" t="s">
        <v>430</v>
      </c>
      <c r="D8" s="3" t="s">
        <v>8</v>
      </c>
      <c r="F8" s="2" t="b">
        <f t="shared" si="0"/>
        <v>0</v>
      </c>
      <c r="H8" s="18"/>
    </row>
    <row r="9" spans="1:8" ht="15" customHeight="1" x14ac:dyDescent="0.2">
      <c r="A9" s="3">
        <v>2</v>
      </c>
      <c r="B9" s="3" t="s">
        <v>3</v>
      </c>
      <c r="C9" s="8" t="s">
        <v>413</v>
      </c>
      <c r="D9" s="3" t="s">
        <v>7</v>
      </c>
      <c r="F9" s="2" t="b">
        <f t="shared" si="0"/>
        <v>0</v>
      </c>
      <c r="H9" s="18"/>
    </row>
    <row r="10" spans="1:8" ht="15" customHeight="1" x14ac:dyDescent="0.2">
      <c r="A10" s="3">
        <v>2</v>
      </c>
      <c r="B10" s="3" t="s">
        <v>6</v>
      </c>
      <c r="C10" s="8" t="s">
        <v>431</v>
      </c>
      <c r="D10" s="3" t="s">
        <v>7</v>
      </c>
      <c r="F10" s="2" t="b">
        <f t="shared" si="0"/>
        <v>0</v>
      </c>
      <c r="H10" s="18"/>
    </row>
    <row r="11" spans="1:8" ht="27" customHeight="1" x14ac:dyDescent="0.2">
      <c r="A11" s="3">
        <v>3</v>
      </c>
      <c r="B11" s="18" t="s">
        <v>432</v>
      </c>
      <c r="C11" s="18"/>
      <c r="D11" s="18"/>
      <c r="E11" s="18"/>
      <c r="F11" s="18"/>
    </row>
    <row r="12" spans="1:8" ht="30" customHeight="1" x14ac:dyDescent="0.2">
      <c r="A12" s="3">
        <v>3</v>
      </c>
      <c r="B12" s="3" t="s">
        <v>0</v>
      </c>
      <c r="C12" s="10" t="s">
        <v>434</v>
      </c>
      <c r="D12" s="3" t="s">
        <v>8</v>
      </c>
      <c r="F12" s="2" t="b">
        <f t="shared" si="0"/>
        <v>0</v>
      </c>
      <c r="H12" s="18" t="s">
        <v>433</v>
      </c>
    </row>
    <row r="13" spans="1:8" ht="33" customHeight="1" x14ac:dyDescent="0.2">
      <c r="A13" s="3">
        <v>3</v>
      </c>
      <c r="B13" s="3" t="s">
        <v>1</v>
      </c>
      <c r="C13" s="10" t="s">
        <v>435</v>
      </c>
      <c r="D13" s="3" t="s">
        <v>7</v>
      </c>
      <c r="F13" s="2" t="b">
        <f t="shared" si="0"/>
        <v>0</v>
      </c>
      <c r="H13" s="18"/>
    </row>
    <row r="14" spans="1:8" ht="30" customHeight="1" x14ac:dyDescent="0.2">
      <c r="A14" s="3">
        <v>3</v>
      </c>
      <c r="B14" s="3" t="s">
        <v>2</v>
      </c>
      <c r="C14" s="10" t="s">
        <v>436</v>
      </c>
      <c r="D14" s="3" t="s">
        <v>8</v>
      </c>
      <c r="F14" s="2" t="b">
        <f t="shared" si="0"/>
        <v>0</v>
      </c>
      <c r="H14" s="18"/>
    </row>
    <row r="15" spans="1:8" ht="31.5" customHeight="1" x14ac:dyDescent="0.2">
      <c r="A15" s="3">
        <v>3</v>
      </c>
      <c r="B15" s="3" t="s">
        <v>3</v>
      </c>
      <c r="C15" s="10" t="s">
        <v>437</v>
      </c>
      <c r="D15" s="3" t="s">
        <v>7</v>
      </c>
      <c r="F15" s="2" t="b">
        <f t="shared" si="0"/>
        <v>0</v>
      </c>
      <c r="H15" s="18"/>
    </row>
    <row r="16" spans="1:8" ht="32.25" customHeight="1" x14ac:dyDescent="0.2">
      <c r="A16" s="3">
        <v>3</v>
      </c>
      <c r="B16" s="3" t="s">
        <v>6</v>
      </c>
      <c r="C16" s="10" t="s">
        <v>438</v>
      </c>
      <c r="D16" s="3" t="s">
        <v>8</v>
      </c>
      <c r="F16" s="2" t="b">
        <f t="shared" si="0"/>
        <v>0</v>
      </c>
      <c r="H16" s="18"/>
    </row>
    <row r="17" spans="1:8" ht="15" customHeight="1" x14ac:dyDescent="0.2">
      <c r="A17" s="3">
        <v>4</v>
      </c>
      <c r="B17" s="18" t="s">
        <v>439</v>
      </c>
      <c r="C17" s="18"/>
      <c r="D17" s="18"/>
      <c r="E17" s="18"/>
      <c r="F17" s="18"/>
    </row>
    <row r="18" spans="1:8" ht="15" customHeight="1" x14ac:dyDescent="0.2">
      <c r="A18" s="3">
        <v>4</v>
      </c>
      <c r="B18" s="3" t="s">
        <v>0</v>
      </c>
      <c r="C18" s="8" t="b">
        <v>0</v>
      </c>
      <c r="D18" s="3" t="s">
        <v>7</v>
      </c>
      <c r="F18" s="2" t="b">
        <f t="shared" si="0"/>
        <v>0</v>
      </c>
      <c r="H18" s="18" t="s">
        <v>440</v>
      </c>
    </row>
    <row r="19" spans="1:8" ht="15" customHeight="1" x14ac:dyDescent="0.2">
      <c r="A19" s="3">
        <v>4</v>
      </c>
      <c r="B19" s="3" t="s">
        <v>1</v>
      </c>
      <c r="C19" s="8" t="b">
        <v>1</v>
      </c>
      <c r="D19" s="3" t="s">
        <v>8</v>
      </c>
      <c r="F19" s="2" t="b">
        <f t="shared" si="0"/>
        <v>0</v>
      </c>
      <c r="H19" s="18"/>
    </row>
    <row r="20" spans="1:8" ht="17.25" customHeight="1" x14ac:dyDescent="0.2">
      <c r="A20" s="3">
        <v>5</v>
      </c>
      <c r="B20" s="19" t="s">
        <v>441</v>
      </c>
      <c r="C20" s="19"/>
      <c r="D20" s="19"/>
      <c r="E20" s="19"/>
      <c r="F20" s="19"/>
    </row>
    <row r="21" spans="1:8" ht="15" customHeight="1" x14ac:dyDescent="0.2">
      <c r="A21" s="3">
        <v>5</v>
      </c>
      <c r="B21" s="3" t="s">
        <v>0</v>
      </c>
      <c r="C21" s="8" t="s">
        <v>443</v>
      </c>
      <c r="D21" s="3" t="s">
        <v>7</v>
      </c>
      <c r="F21" s="2" t="b">
        <f t="shared" si="0"/>
        <v>0</v>
      </c>
      <c r="H21" s="18" t="s">
        <v>442</v>
      </c>
    </row>
    <row r="22" spans="1:8" ht="30" customHeight="1" x14ac:dyDescent="0.2">
      <c r="A22" s="3">
        <v>5</v>
      </c>
      <c r="B22" s="3" t="s">
        <v>1</v>
      </c>
      <c r="C22" s="10" t="s">
        <v>444</v>
      </c>
      <c r="D22" s="3" t="s">
        <v>7</v>
      </c>
      <c r="F22" s="2" t="b">
        <f t="shared" si="0"/>
        <v>0</v>
      </c>
      <c r="H22" s="18"/>
    </row>
    <row r="23" spans="1:8" ht="35.25" customHeight="1" x14ac:dyDescent="0.2">
      <c r="A23" s="3">
        <v>5</v>
      </c>
      <c r="B23" s="3" t="s">
        <v>2</v>
      </c>
      <c r="C23" s="10" t="s">
        <v>445</v>
      </c>
      <c r="D23" s="3" t="s">
        <v>8</v>
      </c>
      <c r="F23" s="2" t="b">
        <f t="shared" si="0"/>
        <v>0</v>
      </c>
      <c r="H23" s="18"/>
    </row>
    <row r="24" spans="1:8" ht="15" customHeight="1" x14ac:dyDescent="0.2">
      <c r="A24" s="3">
        <v>5</v>
      </c>
      <c r="B24" s="3" t="s">
        <v>3</v>
      </c>
      <c r="C24" s="8" t="s">
        <v>446</v>
      </c>
      <c r="D24" s="3" t="s">
        <v>8</v>
      </c>
      <c r="F24" s="2" t="b">
        <f t="shared" si="0"/>
        <v>0</v>
      </c>
      <c r="H24" s="18"/>
    </row>
    <row r="25" spans="1:8" ht="48.75" customHeight="1" x14ac:dyDescent="0.2">
      <c r="A25" s="3">
        <v>6</v>
      </c>
      <c r="B25" s="18" t="s">
        <v>447</v>
      </c>
      <c r="C25" s="18"/>
      <c r="D25" s="18"/>
      <c r="E25" s="18"/>
      <c r="F25" s="18"/>
    </row>
    <row r="26" spans="1:8" ht="15" customHeight="1" x14ac:dyDescent="0.2">
      <c r="A26" s="3">
        <v>6</v>
      </c>
      <c r="B26" s="3" t="s">
        <v>0</v>
      </c>
      <c r="C26" s="8" t="s">
        <v>449</v>
      </c>
      <c r="D26" s="3" t="s">
        <v>7</v>
      </c>
      <c r="F26" s="2" t="b">
        <f t="shared" si="0"/>
        <v>0</v>
      </c>
      <c r="H26" s="18" t="s">
        <v>448</v>
      </c>
    </row>
    <row r="27" spans="1:8" ht="15" customHeight="1" x14ac:dyDescent="0.2">
      <c r="A27" s="3">
        <v>6</v>
      </c>
      <c r="B27" s="3" t="s">
        <v>1</v>
      </c>
      <c r="C27" s="8" t="s">
        <v>450</v>
      </c>
      <c r="D27" s="3" t="s">
        <v>7</v>
      </c>
      <c r="F27" s="2" t="b">
        <f t="shared" si="0"/>
        <v>0</v>
      </c>
      <c r="H27" s="18"/>
    </row>
    <row r="28" spans="1:8" ht="15" customHeight="1" x14ac:dyDescent="0.2">
      <c r="A28" s="3">
        <v>6</v>
      </c>
      <c r="B28" s="3" t="s">
        <v>2</v>
      </c>
      <c r="C28" s="8" t="s">
        <v>451</v>
      </c>
      <c r="D28" s="3" t="s">
        <v>8</v>
      </c>
      <c r="F28" s="2" t="b">
        <f t="shared" si="0"/>
        <v>0</v>
      </c>
      <c r="H28" s="18"/>
    </row>
    <row r="29" spans="1:8" ht="15" customHeight="1" x14ac:dyDescent="0.2">
      <c r="A29" s="3">
        <v>6</v>
      </c>
      <c r="B29" s="3" t="s">
        <v>3</v>
      </c>
      <c r="C29" s="8" t="s">
        <v>452</v>
      </c>
      <c r="D29" s="3" t="s">
        <v>7</v>
      </c>
      <c r="F29" s="2" t="b">
        <f t="shared" si="0"/>
        <v>0</v>
      </c>
      <c r="H29" s="18"/>
    </row>
    <row r="30" spans="1:8" ht="15" customHeight="1" x14ac:dyDescent="0.2">
      <c r="A30" s="3">
        <v>7</v>
      </c>
      <c r="B30" s="18" t="s">
        <v>453</v>
      </c>
      <c r="C30" s="18"/>
      <c r="D30" s="18"/>
      <c r="E30" s="18"/>
      <c r="F30" s="18"/>
    </row>
    <row r="31" spans="1:8" ht="15" customHeight="1" x14ac:dyDescent="0.2">
      <c r="A31" s="3">
        <v>7</v>
      </c>
      <c r="B31" s="3" t="s">
        <v>0</v>
      </c>
      <c r="C31" s="8" t="s">
        <v>455</v>
      </c>
      <c r="D31" s="3" t="s">
        <v>7</v>
      </c>
      <c r="F31" s="2" t="b">
        <f t="shared" si="0"/>
        <v>0</v>
      </c>
      <c r="H31" s="18" t="s">
        <v>454</v>
      </c>
    </row>
    <row r="32" spans="1:8" ht="15" customHeight="1" x14ac:dyDescent="0.2">
      <c r="A32" s="3">
        <v>7</v>
      </c>
      <c r="B32" s="3" t="s">
        <v>1</v>
      </c>
      <c r="C32" s="8" t="s">
        <v>12</v>
      </c>
      <c r="D32" s="3" t="s">
        <v>8</v>
      </c>
      <c r="F32" s="2" t="b">
        <f t="shared" si="0"/>
        <v>0</v>
      </c>
      <c r="H32" s="18"/>
    </row>
    <row r="33" spans="1:8" ht="15" customHeight="1" x14ac:dyDescent="0.2">
      <c r="A33" s="3">
        <v>7</v>
      </c>
      <c r="B33" s="3" t="s">
        <v>2</v>
      </c>
      <c r="C33" s="8" t="s">
        <v>31</v>
      </c>
      <c r="D33" s="3" t="s">
        <v>7</v>
      </c>
      <c r="F33" s="2" t="b">
        <f t="shared" si="0"/>
        <v>0</v>
      </c>
      <c r="H33" s="18"/>
    </row>
    <row r="34" spans="1:8" ht="15" customHeight="1" x14ac:dyDescent="0.2">
      <c r="A34" s="3">
        <v>7</v>
      </c>
      <c r="B34" s="3" t="s">
        <v>3</v>
      </c>
      <c r="C34" s="8" t="s">
        <v>11</v>
      </c>
      <c r="D34" s="3" t="s">
        <v>7</v>
      </c>
      <c r="F34" s="2" t="b">
        <f t="shared" si="0"/>
        <v>0</v>
      </c>
      <c r="H34" s="18"/>
    </row>
    <row r="35" spans="1:8" ht="15" customHeight="1" x14ac:dyDescent="0.2">
      <c r="A35" s="3">
        <v>7</v>
      </c>
      <c r="B35" s="3" t="s">
        <v>6</v>
      </c>
      <c r="C35" s="8" t="s">
        <v>13</v>
      </c>
      <c r="D35" s="3" t="s">
        <v>8</v>
      </c>
      <c r="F35" s="2" t="b">
        <f t="shared" si="0"/>
        <v>0</v>
      </c>
      <c r="H35" s="18"/>
    </row>
    <row r="36" spans="1:8" ht="15" customHeight="1" x14ac:dyDescent="0.2">
      <c r="A36" s="3">
        <v>8</v>
      </c>
      <c r="B36" s="19" t="s">
        <v>456</v>
      </c>
      <c r="C36" s="19"/>
      <c r="D36" s="19"/>
      <c r="E36" s="19"/>
      <c r="F36" s="19"/>
    </row>
    <row r="37" spans="1:8" ht="15" customHeight="1" x14ac:dyDescent="0.2">
      <c r="A37" s="3">
        <v>8</v>
      </c>
      <c r="B37" s="3" t="s">
        <v>0</v>
      </c>
      <c r="C37" s="8" t="s">
        <v>458</v>
      </c>
      <c r="D37" s="3" t="s">
        <v>8</v>
      </c>
      <c r="F37" s="2" t="b">
        <f t="shared" si="0"/>
        <v>0</v>
      </c>
      <c r="H37" s="19" t="s">
        <v>457</v>
      </c>
    </row>
    <row r="38" spans="1:8" ht="15" customHeight="1" x14ac:dyDescent="0.2">
      <c r="A38" s="3">
        <v>8</v>
      </c>
      <c r="B38" s="3" t="s">
        <v>1</v>
      </c>
      <c r="C38" s="8" t="s">
        <v>459</v>
      </c>
      <c r="D38" s="3" t="s">
        <v>8</v>
      </c>
      <c r="F38" s="2" t="b">
        <f t="shared" si="0"/>
        <v>0</v>
      </c>
      <c r="H38" s="19"/>
    </row>
    <row r="39" spans="1:8" ht="15" customHeight="1" x14ac:dyDescent="0.2">
      <c r="A39" s="3">
        <v>8</v>
      </c>
      <c r="B39" s="3" t="s">
        <v>2</v>
      </c>
      <c r="C39" s="8" t="s">
        <v>460</v>
      </c>
      <c r="D39" s="3" t="s">
        <v>7</v>
      </c>
      <c r="F39" s="2" t="b">
        <f t="shared" si="0"/>
        <v>0</v>
      </c>
      <c r="H39" s="19"/>
    </row>
    <row r="40" spans="1:8" ht="15" customHeight="1" x14ac:dyDescent="0.2">
      <c r="A40" s="3">
        <v>8</v>
      </c>
      <c r="B40" s="3" t="s">
        <v>3</v>
      </c>
      <c r="C40" s="8" t="s">
        <v>461</v>
      </c>
      <c r="D40" s="3" t="s">
        <v>7</v>
      </c>
      <c r="F40" s="2" t="b">
        <f t="shared" si="0"/>
        <v>0</v>
      </c>
      <c r="H40" s="19"/>
    </row>
    <row r="41" spans="1:8" ht="33" customHeight="1" x14ac:dyDescent="0.2">
      <c r="A41" s="3">
        <v>9</v>
      </c>
      <c r="B41" s="18" t="s">
        <v>462</v>
      </c>
      <c r="C41" s="18"/>
      <c r="D41" s="18"/>
      <c r="E41" s="18"/>
      <c r="F41" s="18"/>
    </row>
    <row r="42" spans="1:8" ht="15" customHeight="1" x14ac:dyDescent="0.2">
      <c r="A42" s="3">
        <v>9</v>
      </c>
      <c r="B42" s="3" t="s">
        <v>0</v>
      </c>
      <c r="C42" s="8" t="s">
        <v>464</v>
      </c>
      <c r="D42" s="3" t="s">
        <v>7</v>
      </c>
      <c r="F42" s="2" t="b">
        <f t="shared" si="0"/>
        <v>0</v>
      </c>
      <c r="H42" s="18" t="s">
        <v>463</v>
      </c>
    </row>
    <row r="43" spans="1:8" ht="15" customHeight="1" x14ac:dyDescent="0.2">
      <c r="A43" s="3">
        <v>9</v>
      </c>
      <c r="B43" s="3" t="s">
        <v>1</v>
      </c>
      <c r="C43" s="8" t="s">
        <v>465</v>
      </c>
      <c r="D43" s="3" t="s">
        <v>8</v>
      </c>
      <c r="F43" s="2" t="b">
        <f t="shared" si="0"/>
        <v>0</v>
      </c>
      <c r="H43" s="18"/>
    </row>
    <row r="44" spans="1:8" ht="15" customHeight="1" x14ac:dyDescent="0.2">
      <c r="A44" s="3">
        <v>9</v>
      </c>
      <c r="B44" s="3" t="s">
        <v>2</v>
      </c>
      <c r="C44" s="8" t="s">
        <v>466</v>
      </c>
      <c r="D44" s="3" t="s">
        <v>7</v>
      </c>
      <c r="F44" s="2" t="b">
        <f t="shared" si="0"/>
        <v>0</v>
      </c>
      <c r="H44" s="18"/>
    </row>
    <row r="45" spans="1:8" ht="15" customHeight="1" x14ac:dyDescent="0.2">
      <c r="A45" s="3">
        <v>9</v>
      </c>
      <c r="B45" s="3" t="s">
        <v>3</v>
      </c>
      <c r="C45" s="8" t="s">
        <v>467</v>
      </c>
      <c r="D45" s="3" t="s">
        <v>8</v>
      </c>
      <c r="F45" s="2" t="b">
        <f t="shared" si="0"/>
        <v>0</v>
      </c>
      <c r="H45" s="18"/>
    </row>
    <row r="46" spans="1:8" ht="15" customHeight="1" x14ac:dyDescent="0.2">
      <c r="A46" s="3">
        <v>9</v>
      </c>
      <c r="B46" s="3" t="s">
        <v>6</v>
      </c>
      <c r="C46" s="8" t="s">
        <v>468</v>
      </c>
      <c r="D46" s="3" t="s">
        <v>8</v>
      </c>
      <c r="F46" s="2" t="b">
        <f t="shared" si="0"/>
        <v>0</v>
      </c>
      <c r="H46" s="18"/>
    </row>
    <row r="47" spans="1:8" ht="46.5" customHeight="1" x14ac:dyDescent="0.2">
      <c r="A47" s="3">
        <v>10</v>
      </c>
      <c r="B47" s="18" t="s">
        <v>469</v>
      </c>
      <c r="C47" s="18"/>
      <c r="D47" s="18"/>
      <c r="E47" s="18"/>
      <c r="F47" s="18"/>
    </row>
    <row r="48" spans="1:8" ht="15" customHeight="1" x14ac:dyDescent="0.2">
      <c r="A48" s="3">
        <v>10</v>
      </c>
      <c r="B48" s="3" t="s">
        <v>0</v>
      </c>
      <c r="C48" s="8" t="s">
        <v>471</v>
      </c>
      <c r="D48" s="3" t="s">
        <v>7</v>
      </c>
      <c r="F48" s="2" t="b">
        <f t="shared" si="0"/>
        <v>0</v>
      </c>
      <c r="H48" s="18" t="s">
        <v>470</v>
      </c>
    </row>
    <row r="49" spans="1:8" ht="15" customHeight="1" x14ac:dyDescent="0.2">
      <c r="A49" s="3">
        <v>10</v>
      </c>
      <c r="B49" s="3" t="s">
        <v>1</v>
      </c>
      <c r="C49" s="8" t="s">
        <v>472</v>
      </c>
      <c r="D49" s="3" t="s">
        <v>7</v>
      </c>
      <c r="F49" s="2" t="b">
        <f t="shared" si="0"/>
        <v>0</v>
      </c>
      <c r="H49" s="18"/>
    </row>
    <row r="50" spans="1:8" ht="15" customHeight="1" x14ac:dyDescent="0.2">
      <c r="A50" s="3">
        <v>10</v>
      </c>
      <c r="B50" s="3" t="s">
        <v>2</v>
      </c>
      <c r="C50" s="8" t="s">
        <v>473</v>
      </c>
      <c r="D50" s="3" t="s">
        <v>7</v>
      </c>
      <c r="F50" s="2" t="b">
        <f t="shared" si="0"/>
        <v>0</v>
      </c>
      <c r="H50" s="18"/>
    </row>
    <row r="51" spans="1:8" ht="15" customHeight="1" x14ac:dyDescent="0.2">
      <c r="A51" s="3">
        <v>10</v>
      </c>
      <c r="B51" s="3" t="s">
        <v>3</v>
      </c>
      <c r="C51" s="8" t="s">
        <v>474</v>
      </c>
      <c r="D51" s="3" t="s">
        <v>8</v>
      </c>
      <c r="F51" s="2" t="b">
        <f t="shared" si="0"/>
        <v>0</v>
      </c>
      <c r="H51" s="18"/>
    </row>
    <row r="52" spans="1:8" ht="31.5" customHeight="1" x14ac:dyDescent="0.2">
      <c r="A52" s="3">
        <v>11</v>
      </c>
      <c r="B52" s="18" t="s">
        <v>475</v>
      </c>
      <c r="C52" s="18"/>
      <c r="D52" s="18"/>
      <c r="E52" s="18"/>
      <c r="F52" s="18"/>
    </row>
    <row r="53" spans="1:8" ht="15" customHeight="1" x14ac:dyDescent="0.2">
      <c r="A53" s="3">
        <v>11</v>
      </c>
      <c r="B53" s="3" t="s">
        <v>0</v>
      </c>
      <c r="C53" s="8" t="s">
        <v>477</v>
      </c>
      <c r="D53" s="3" t="s">
        <v>8</v>
      </c>
      <c r="F53" s="2" t="b">
        <f t="shared" si="0"/>
        <v>0</v>
      </c>
      <c r="H53" s="18" t="s">
        <v>476</v>
      </c>
    </row>
    <row r="54" spans="1:8" ht="15" customHeight="1" x14ac:dyDescent="0.2">
      <c r="A54" s="3">
        <v>11</v>
      </c>
      <c r="B54" s="3" t="s">
        <v>1</v>
      </c>
      <c r="C54" s="8" t="s">
        <v>478</v>
      </c>
      <c r="D54" s="3" t="s">
        <v>7</v>
      </c>
      <c r="F54" s="2" t="b">
        <f t="shared" si="0"/>
        <v>0</v>
      </c>
      <c r="H54" s="18"/>
    </row>
    <row r="55" spans="1:8" ht="15" customHeight="1" x14ac:dyDescent="0.2">
      <c r="A55" s="3">
        <v>11</v>
      </c>
      <c r="B55" s="3" t="s">
        <v>2</v>
      </c>
      <c r="C55" s="8" t="s">
        <v>479</v>
      </c>
      <c r="D55" s="3" t="s">
        <v>7</v>
      </c>
      <c r="F55" s="2" t="b">
        <f t="shared" si="0"/>
        <v>0</v>
      </c>
      <c r="H55" s="18"/>
    </row>
    <row r="56" spans="1:8" ht="15" customHeight="1" x14ac:dyDescent="0.2">
      <c r="A56" s="3">
        <v>11</v>
      </c>
      <c r="B56" s="3" t="s">
        <v>3</v>
      </c>
      <c r="C56" s="8" t="s">
        <v>480</v>
      </c>
      <c r="D56" s="3" t="s">
        <v>7</v>
      </c>
      <c r="F56" s="2" t="b">
        <f t="shared" si="0"/>
        <v>0</v>
      </c>
      <c r="H56" s="18"/>
    </row>
    <row r="57" spans="1:8" ht="33" customHeight="1" x14ac:dyDescent="0.2">
      <c r="A57" s="3">
        <v>12</v>
      </c>
      <c r="B57" s="18" t="s">
        <v>481</v>
      </c>
      <c r="C57" s="18"/>
      <c r="D57" s="18"/>
      <c r="E57" s="18"/>
      <c r="F57" s="18"/>
    </row>
    <row r="58" spans="1:8" ht="15" customHeight="1" x14ac:dyDescent="0.2">
      <c r="A58" s="3">
        <v>12</v>
      </c>
      <c r="B58" s="3" t="s">
        <v>0</v>
      </c>
      <c r="C58" s="8" t="s">
        <v>395</v>
      </c>
      <c r="D58" s="3" t="s">
        <v>8</v>
      </c>
      <c r="F58" s="2" t="b">
        <f t="shared" si="0"/>
        <v>0</v>
      </c>
      <c r="H58" s="18" t="s">
        <v>482</v>
      </c>
    </row>
    <row r="59" spans="1:8" ht="15" customHeight="1" x14ac:dyDescent="0.2">
      <c r="A59" s="3">
        <v>12</v>
      </c>
      <c r="B59" s="3" t="s">
        <v>1</v>
      </c>
      <c r="C59" s="8" t="s">
        <v>483</v>
      </c>
      <c r="D59" s="3" t="s">
        <v>7</v>
      </c>
      <c r="F59" s="2" t="b">
        <f t="shared" si="0"/>
        <v>0</v>
      </c>
      <c r="H59" s="18"/>
    </row>
    <row r="60" spans="1:8" ht="15" customHeight="1" x14ac:dyDescent="0.2">
      <c r="A60" s="3">
        <v>12</v>
      </c>
      <c r="B60" s="3" t="s">
        <v>2</v>
      </c>
      <c r="C60" s="8" t="s">
        <v>484</v>
      </c>
      <c r="D60" s="3" t="s">
        <v>7</v>
      </c>
      <c r="F60" s="2" t="b">
        <f t="shared" si="0"/>
        <v>0</v>
      </c>
      <c r="H60" s="18"/>
    </row>
    <row r="61" spans="1:8" ht="15" customHeight="1" x14ac:dyDescent="0.2">
      <c r="A61" s="3">
        <v>12</v>
      </c>
      <c r="B61" s="3" t="s">
        <v>3</v>
      </c>
      <c r="C61" s="8" t="s">
        <v>5</v>
      </c>
      <c r="D61" s="3" t="s">
        <v>7</v>
      </c>
      <c r="F61" s="2" t="b">
        <f t="shared" si="0"/>
        <v>0</v>
      </c>
      <c r="H61" s="18"/>
    </row>
    <row r="62" spans="1:8" ht="15" customHeight="1" x14ac:dyDescent="0.2">
      <c r="A62" s="3">
        <v>13</v>
      </c>
      <c r="B62" s="18" t="s">
        <v>485</v>
      </c>
      <c r="C62" s="18"/>
      <c r="D62" s="18"/>
      <c r="E62" s="18"/>
      <c r="F62" s="18"/>
    </row>
    <row r="63" spans="1:8" ht="15" customHeight="1" x14ac:dyDescent="0.2">
      <c r="A63" s="3">
        <v>13</v>
      </c>
      <c r="B63" s="3" t="s">
        <v>0</v>
      </c>
      <c r="C63" s="8" t="s">
        <v>190</v>
      </c>
      <c r="D63" s="3" t="s">
        <v>7</v>
      </c>
      <c r="F63" s="2" t="b">
        <f t="shared" si="0"/>
        <v>0</v>
      </c>
      <c r="H63" s="18" t="s">
        <v>486</v>
      </c>
    </row>
    <row r="64" spans="1:8" ht="15" customHeight="1" x14ac:dyDescent="0.2">
      <c r="A64" s="3">
        <v>13</v>
      </c>
      <c r="B64" s="3" t="s">
        <v>1</v>
      </c>
      <c r="C64" s="8" t="s">
        <v>32</v>
      </c>
      <c r="D64" s="3" t="s">
        <v>8</v>
      </c>
      <c r="F64" s="2" t="b">
        <f t="shared" si="0"/>
        <v>0</v>
      </c>
      <c r="H64" s="18"/>
    </row>
    <row r="65" spans="1:8" ht="15" customHeight="1" x14ac:dyDescent="0.2">
      <c r="A65" s="3">
        <v>13</v>
      </c>
      <c r="B65" s="3" t="s">
        <v>2</v>
      </c>
      <c r="C65" s="8" t="s">
        <v>487</v>
      </c>
      <c r="D65" s="3" t="s">
        <v>7</v>
      </c>
      <c r="F65" s="2" t="b">
        <f t="shared" si="0"/>
        <v>0</v>
      </c>
      <c r="H65" s="18"/>
    </row>
    <row r="66" spans="1:8" ht="15" customHeight="1" x14ac:dyDescent="0.2">
      <c r="A66" s="3">
        <v>13</v>
      </c>
      <c r="B66" s="3" t="s">
        <v>3</v>
      </c>
      <c r="C66" s="8" t="s">
        <v>488</v>
      </c>
      <c r="D66" s="3" t="s">
        <v>7</v>
      </c>
      <c r="F66" s="2" t="b">
        <f t="shared" si="0"/>
        <v>0</v>
      </c>
      <c r="H66" s="18"/>
    </row>
    <row r="67" spans="1:8" ht="15" customHeight="1" x14ac:dyDescent="0.2">
      <c r="A67" s="3">
        <v>14</v>
      </c>
      <c r="B67" s="19" t="s">
        <v>489</v>
      </c>
      <c r="C67" s="19"/>
      <c r="D67" s="19"/>
      <c r="E67" s="19"/>
      <c r="F67" s="19"/>
    </row>
    <row r="68" spans="1:8" ht="15" customHeight="1" x14ac:dyDescent="0.2">
      <c r="A68" s="3">
        <v>14</v>
      </c>
      <c r="B68" s="3" t="s">
        <v>0</v>
      </c>
      <c r="C68" s="8" t="s">
        <v>491</v>
      </c>
      <c r="D68" s="3" t="s">
        <v>7</v>
      </c>
      <c r="F68" s="2" t="b">
        <f t="shared" ref="F68:F131" si="1">D68=E68</f>
        <v>0</v>
      </c>
      <c r="H68" s="18" t="s">
        <v>490</v>
      </c>
    </row>
    <row r="69" spans="1:8" ht="15" customHeight="1" x14ac:dyDescent="0.2">
      <c r="A69" s="3">
        <v>14</v>
      </c>
      <c r="B69" s="3" t="s">
        <v>1</v>
      </c>
      <c r="C69" s="8" t="s">
        <v>492</v>
      </c>
      <c r="D69" s="3" t="s">
        <v>8</v>
      </c>
      <c r="F69" s="2" t="b">
        <f t="shared" si="1"/>
        <v>0</v>
      </c>
      <c r="H69" s="18"/>
    </row>
    <row r="70" spans="1:8" ht="15" customHeight="1" x14ac:dyDescent="0.2">
      <c r="A70" s="3">
        <v>14</v>
      </c>
      <c r="B70" s="3" t="s">
        <v>2</v>
      </c>
      <c r="C70" s="8" t="s">
        <v>493</v>
      </c>
      <c r="D70" s="3" t="s">
        <v>8</v>
      </c>
      <c r="F70" s="2" t="b">
        <f t="shared" si="1"/>
        <v>0</v>
      </c>
      <c r="H70" s="18"/>
    </row>
    <row r="71" spans="1:8" ht="15" customHeight="1" x14ac:dyDescent="0.2">
      <c r="A71" s="3">
        <v>14</v>
      </c>
      <c r="B71" s="3" t="s">
        <v>3</v>
      </c>
      <c r="C71" s="8" t="s">
        <v>494</v>
      </c>
      <c r="D71" s="3" t="s">
        <v>7</v>
      </c>
      <c r="F71" s="2" t="b">
        <f t="shared" si="1"/>
        <v>0</v>
      </c>
      <c r="H71" s="18"/>
    </row>
    <row r="72" spans="1:8" ht="15" customHeight="1" x14ac:dyDescent="0.2">
      <c r="A72" s="3">
        <v>14</v>
      </c>
      <c r="B72" s="3" t="s">
        <v>6</v>
      </c>
      <c r="C72" s="8" t="s">
        <v>495</v>
      </c>
      <c r="D72" s="3" t="s">
        <v>7</v>
      </c>
      <c r="F72" s="2" t="b">
        <f t="shared" si="1"/>
        <v>0</v>
      </c>
      <c r="H72" s="18"/>
    </row>
    <row r="73" spans="1:8" ht="15" customHeight="1" x14ac:dyDescent="0.2">
      <c r="A73" s="3">
        <v>14</v>
      </c>
      <c r="B73" s="3" t="s">
        <v>37</v>
      </c>
      <c r="C73" s="8" t="s">
        <v>496</v>
      </c>
      <c r="D73" s="3" t="s">
        <v>8</v>
      </c>
      <c r="F73" s="2" t="b">
        <f t="shared" si="1"/>
        <v>0</v>
      </c>
      <c r="H73" s="18"/>
    </row>
    <row r="74" spans="1:8" ht="15" customHeight="1" x14ac:dyDescent="0.2">
      <c r="A74" s="3">
        <v>14</v>
      </c>
      <c r="B74" s="3" t="s">
        <v>226</v>
      </c>
      <c r="C74" s="8" t="s">
        <v>497</v>
      </c>
      <c r="D74" s="3" t="s">
        <v>8</v>
      </c>
      <c r="F74" s="2" t="b">
        <f t="shared" si="1"/>
        <v>0</v>
      </c>
      <c r="H74" s="18"/>
    </row>
    <row r="75" spans="1:8" ht="47.25" customHeight="1" x14ac:dyDescent="0.2">
      <c r="A75" s="3">
        <v>15</v>
      </c>
      <c r="B75" s="18" t="s">
        <v>498</v>
      </c>
      <c r="C75" s="18"/>
      <c r="D75" s="18"/>
      <c r="E75" s="18"/>
      <c r="F75" s="18"/>
    </row>
    <row r="76" spans="1:8" ht="15" customHeight="1" x14ac:dyDescent="0.2">
      <c r="A76" s="3">
        <v>15</v>
      </c>
      <c r="B76" s="3" t="s">
        <v>0</v>
      </c>
      <c r="C76" s="8" t="s">
        <v>94</v>
      </c>
      <c r="D76" s="3" t="s">
        <v>7</v>
      </c>
      <c r="F76" s="2" t="b">
        <f t="shared" si="1"/>
        <v>0</v>
      </c>
      <c r="H76" s="18" t="s">
        <v>499</v>
      </c>
    </row>
    <row r="77" spans="1:8" ht="15" customHeight="1" x14ac:dyDescent="0.2">
      <c r="A77" s="3">
        <v>15</v>
      </c>
      <c r="B77" s="3" t="s">
        <v>1</v>
      </c>
      <c r="C77" s="8" t="s">
        <v>15</v>
      </c>
      <c r="D77" s="3" t="s">
        <v>8</v>
      </c>
      <c r="F77" s="2" t="b">
        <f t="shared" si="1"/>
        <v>0</v>
      </c>
      <c r="H77" s="18"/>
    </row>
    <row r="78" spans="1:8" ht="15" customHeight="1" x14ac:dyDescent="0.2">
      <c r="A78" s="3">
        <v>15</v>
      </c>
      <c r="B78" s="3" t="s">
        <v>2</v>
      </c>
      <c r="C78" s="8" t="s">
        <v>93</v>
      </c>
      <c r="D78" s="3" t="s">
        <v>7</v>
      </c>
      <c r="F78" s="2" t="b">
        <f t="shared" si="1"/>
        <v>0</v>
      </c>
      <c r="H78" s="18"/>
    </row>
    <row r="79" spans="1:8" ht="15" customHeight="1" x14ac:dyDescent="0.2">
      <c r="A79" s="3">
        <v>15</v>
      </c>
      <c r="B79" s="3" t="s">
        <v>3</v>
      </c>
      <c r="C79" s="8" t="s">
        <v>500</v>
      </c>
      <c r="D79" s="3" t="s">
        <v>7</v>
      </c>
      <c r="F79" s="2" t="b">
        <f t="shared" si="1"/>
        <v>0</v>
      </c>
      <c r="H79" s="18"/>
    </row>
    <row r="80" spans="1:8" ht="35.25" customHeight="1" x14ac:dyDescent="0.2">
      <c r="A80" s="3">
        <v>16</v>
      </c>
      <c r="B80" s="18" t="s">
        <v>501</v>
      </c>
      <c r="C80" s="18"/>
      <c r="D80" s="18"/>
      <c r="E80" s="18"/>
      <c r="F80" s="18"/>
    </row>
    <row r="81" spans="1:8" ht="15" customHeight="1" x14ac:dyDescent="0.2">
      <c r="A81" s="3">
        <v>16</v>
      </c>
      <c r="B81" s="3" t="s">
        <v>0</v>
      </c>
      <c r="C81" s="8" t="s">
        <v>503</v>
      </c>
      <c r="D81" s="3" t="s">
        <v>7</v>
      </c>
      <c r="F81" s="2" t="b">
        <f t="shared" si="1"/>
        <v>0</v>
      </c>
      <c r="H81" s="18" t="s">
        <v>502</v>
      </c>
    </row>
    <row r="82" spans="1:8" ht="15" customHeight="1" x14ac:dyDescent="0.2">
      <c r="A82" s="3">
        <v>16</v>
      </c>
      <c r="B82" s="3" t="s">
        <v>1</v>
      </c>
      <c r="C82" s="8" t="s">
        <v>504</v>
      </c>
      <c r="D82" s="3" t="s">
        <v>7</v>
      </c>
      <c r="F82" s="2" t="b">
        <f t="shared" si="1"/>
        <v>0</v>
      </c>
      <c r="H82" s="18"/>
    </row>
    <row r="83" spans="1:8" ht="15" customHeight="1" x14ac:dyDescent="0.2">
      <c r="A83" s="3">
        <v>16</v>
      </c>
      <c r="B83" s="3" t="s">
        <v>2</v>
      </c>
      <c r="C83" s="8" t="s">
        <v>505</v>
      </c>
      <c r="D83" s="3" t="s">
        <v>8</v>
      </c>
      <c r="F83" s="2" t="b">
        <f t="shared" si="1"/>
        <v>0</v>
      </c>
      <c r="H83" s="18"/>
    </row>
    <row r="84" spans="1:8" ht="15" customHeight="1" x14ac:dyDescent="0.2">
      <c r="A84" s="3">
        <v>16</v>
      </c>
      <c r="B84" s="3" t="s">
        <v>3</v>
      </c>
      <c r="C84" s="8" t="s">
        <v>506</v>
      </c>
      <c r="D84" s="3" t="s">
        <v>7</v>
      </c>
      <c r="F84" s="2" t="b">
        <f t="shared" si="1"/>
        <v>0</v>
      </c>
      <c r="H84" s="18"/>
    </row>
    <row r="85" spans="1:8" ht="15" customHeight="1" x14ac:dyDescent="0.2">
      <c r="A85" s="3">
        <v>17</v>
      </c>
      <c r="B85" s="19" t="s">
        <v>507</v>
      </c>
      <c r="C85" s="19"/>
      <c r="D85" s="19"/>
      <c r="E85" s="19"/>
      <c r="F85" s="19"/>
    </row>
    <row r="86" spans="1:8" ht="15" customHeight="1" x14ac:dyDescent="0.2">
      <c r="A86" s="3">
        <v>17</v>
      </c>
      <c r="B86" s="3" t="s">
        <v>0</v>
      </c>
      <c r="C86" s="8" t="s">
        <v>509</v>
      </c>
      <c r="D86" s="3" t="s">
        <v>8</v>
      </c>
      <c r="F86" s="2" t="b">
        <f t="shared" si="1"/>
        <v>0</v>
      </c>
      <c r="H86" s="18" t="s">
        <v>508</v>
      </c>
    </row>
    <row r="87" spans="1:8" ht="15" customHeight="1" x14ac:dyDescent="0.2">
      <c r="A87" s="3">
        <v>17</v>
      </c>
      <c r="B87" s="3" t="s">
        <v>1</v>
      </c>
      <c r="C87" s="8" t="s">
        <v>510</v>
      </c>
      <c r="D87" s="3" t="s">
        <v>7</v>
      </c>
      <c r="F87" s="2" t="b">
        <f t="shared" si="1"/>
        <v>0</v>
      </c>
      <c r="H87" s="18"/>
    </row>
    <row r="88" spans="1:8" ht="15" customHeight="1" x14ac:dyDescent="0.2">
      <c r="A88" s="3">
        <v>17</v>
      </c>
      <c r="B88" s="3" t="s">
        <v>2</v>
      </c>
      <c r="C88" s="8" t="s">
        <v>511</v>
      </c>
      <c r="D88" s="3" t="s">
        <v>7</v>
      </c>
      <c r="F88" s="2" t="b">
        <f t="shared" si="1"/>
        <v>0</v>
      </c>
      <c r="H88" s="18"/>
    </row>
    <row r="89" spans="1:8" ht="15" customHeight="1" x14ac:dyDescent="0.2">
      <c r="A89" s="3">
        <v>17</v>
      </c>
      <c r="B89" s="3" t="s">
        <v>3</v>
      </c>
      <c r="C89" s="8" t="s">
        <v>512</v>
      </c>
      <c r="D89" s="3" t="s">
        <v>7</v>
      </c>
      <c r="F89" s="2" t="b">
        <f t="shared" si="1"/>
        <v>0</v>
      </c>
      <c r="H89" s="18"/>
    </row>
    <row r="90" spans="1:8" ht="30.75" customHeight="1" x14ac:dyDescent="0.2">
      <c r="A90" s="3">
        <v>18</v>
      </c>
      <c r="B90" s="18" t="s">
        <v>513</v>
      </c>
      <c r="C90" s="18"/>
      <c r="D90" s="18"/>
      <c r="E90" s="18"/>
      <c r="F90" s="18"/>
    </row>
    <row r="91" spans="1:8" ht="15" customHeight="1" x14ac:dyDescent="0.2">
      <c r="A91" s="3">
        <v>18</v>
      </c>
      <c r="B91" s="3" t="s">
        <v>0</v>
      </c>
      <c r="C91" s="8" t="s">
        <v>515</v>
      </c>
      <c r="D91" s="3" t="s">
        <v>8</v>
      </c>
      <c r="F91" s="2" t="b">
        <f t="shared" si="1"/>
        <v>0</v>
      </c>
      <c r="H91" s="18" t="s">
        <v>514</v>
      </c>
    </row>
    <row r="92" spans="1:8" ht="15" customHeight="1" x14ac:dyDescent="0.2">
      <c r="A92" s="3">
        <v>18</v>
      </c>
      <c r="B92" s="3" t="s">
        <v>1</v>
      </c>
      <c r="C92" s="8" t="s">
        <v>516</v>
      </c>
      <c r="D92" s="3" t="s">
        <v>7</v>
      </c>
      <c r="F92" s="2" t="b">
        <f t="shared" si="1"/>
        <v>0</v>
      </c>
      <c r="H92" s="18"/>
    </row>
    <row r="93" spans="1:8" ht="15" customHeight="1" x14ac:dyDescent="0.2">
      <c r="A93" s="3">
        <v>18</v>
      </c>
      <c r="B93" s="3" t="s">
        <v>2</v>
      </c>
      <c r="C93" s="8" t="s">
        <v>517</v>
      </c>
      <c r="D93" s="3" t="s">
        <v>8</v>
      </c>
      <c r="F93" s="2" t="b">
        <f t="shared" si="1"/>
        <v>0</v>
      </c>
      <c r="H93" s="18"/>
    </row>
    <row r="94" spans="1:8" ht="15" customHeight="1" x14ac:dyDescent="0.2">
      <c r="A94" s="3">
        <v>18</v>
      </c>
      <c r="B94" s="3" t="s">
        <v>3</v>
      </c>
      <c r="C94" s="8" t="s">
        <v>27</v>
      </c>
      <c r="D94" s="3" t="s">
        <v>7</v>
      </c>
      <c r="F94" s="2" t="b">
        <f t="shared" si="1"/>
        <v>0</v>
      </c>
      <c r="H94" s="18"/>
    </row>
    <row r="95" spans="1:8" ht="15" customHeight="1" x14ac:dyDescent="0.2">
      <c r="A95" s="3">
        <v>18</v>
      </c>
      <c r="B95" s="3" t="s">
        <v>6</v>
      </c>
      <c r="C95" s="8" t="s">
        <v>518</v>
      </c>
      <c r="D95" s="3" t="s">
        <v>7</v>
      </c>
      <c r="F95" s="2" t="b">
        <f t="shared" si="1"/>
        <v>0</v>
      </c>
      <c r="H95" s="18"/>
    </row>
    <row r="96" spans="1:8" ht="15" customHeight="1" x14ac:dyDescent="0.2">
      <c r="A96" s="3">
        <v>19</v>
      </c>
      <c r="B96" s="19" t="s">
        <v>519</v>
      </c>
      <c r="C96" s="19"/>
      <c r="D96" s="19"/>
      <c r="E96" s="19"/>
      <c r="F96" s="19"/>
    </row>
    <row r="97" spans="1:8" ht="15" customHeight="1" x14ac:dyDescent="0.2">
      <c r="A97" s="3">
        <v>19</v>
      </c>
      <c r="B97" s="3" t="s">
        <v>0</v>
      </c>
      <c r="C97" s="8" t="s">
        <v>521</v>
      </c>
      <c r="D97" s="3" t="s">
        <v>7</v>
      </c>
      <c r="F97" s="2" t="b">
        <f t="shared" si="1"/>
        <v>0</v>
      </c>
      <c r="H97" s="18" t="s">
        <v>520</v>
      </c>
    </row>
    <row r="98" spans="1:8" ht="15" customHeight="1" x14ac:dyDescent="0.2">
      <c r="A98" s="3">
        <v>19</v>
      </c>
      <c r="B98" s="3" t="s">
        <v>1</v>
      </c>
      <c r="C98" s="8" t="s">
        <v>522</v>
      </c>
      <c r="D98" s="3" t="s">
        <v>8</v>
      </c>
      <c r="F98" s="2" t="b">
        <f t="shared" si="1"/>
        <v>0</v>
      </c>
      <c r="H98" s="18"/>
    </row>
    <row r="99" spans="1:8" ht="15" customHeight="1" x14ac:dyDescent="0.2">
      <c r="A99" s="3">
        <v>19</v>
      </c>
      <c r="B99" s="3" t="s">
        <v>2</v>
      </c>
      <c r="C99" s="8" t="s">
        <v>523</v>
      </c>
      <c r="D99" s="3" t="s">
        <v>7</v>
      </c>
      <c r="F99" s="2" t="b">
        <f t="shared" si="1"/>
        <v>0</v>
      </c>
      <c r="H99" s="18"/>
    </row>
    <row r="100" spans="1:8" ht="15" customHeight="1" x14ac:dyDescent="0.2">
      <c r="A100" s="3">
        <v>19</v>
      </c>
      <c r="B100" s="3" t="s">
        <v>3</v>
      </c>
      <c r="C100" s="8" t="s">
        <v>524</v>
      </c>
      <c r="D100" s="3" t="s">
        <v>8</v>
      </c>
      <c r="F100" s="2" t="b">
        <f t="shared" si="1"/>
        <v>0</v>
      </c>
      <c r="H100" s="18"/>
    </row>
    <row r="101" spans="1:8" ht="15" customHeight="1" x14ac:dyDescent="0.2">
      <c r="A101" s="3">
        <v>19</v>
      </c>
      <c r="B101" s="3" t="s">
        <v>6</v>
      </c>
      <c r="C101" s="8" t="s">
        <v>525</v>
      </c>
      <c r="D101" s="3" t="s">
        <v>7</v>
      </c>
      <c r="F101" s="2" t="b">
        <f t="shared" si="1"/>
        <v>0</v>
      </c>
      <c r="H101" s="18"/>
    </row>
    <row r="102" spans="1:8" ht="15" customHeight="1" x14ac:dyDescent="0.2">
      <c r="A102" s="3">
        <v>19</v>
      </c>
      <c r="B102" s="3" t="s">
        <v>37</v>
      </c>
      <c r="C102" s="8" t="s">
        <v>526</v>
      </c>
      <c r="D102" s="3" t="s">
        <v>8</v>
      </c>
      <c r="F102" s="2" t="b">
        <f t="shared" si="1"/>
        <v>0</v>
      </c>
      <c r="H102" s="18"/>
    </row>
    <row r="103" spans="1:8" ht="15" customHeight="1" x14ac:dyDescent="0.2">
      <c r="A103" s="3">
        <v>19</v>
      </c>
      <c r="B103" s="3" t="s">
        <v>226</v>
      </c>
      <c r="C103" s="8" t="s">
        <v>527</v>
      </c>
      <c r="D103" s="3" t="s">
        <v>8</v>
      </c>
      <c r="F103" s="2" t="b">
        <f t="shared" si="1"/>
        <v>0</v>
      </c>
      <c r="H103" s="18"/>
    </row>
    <row r="104" spans="1:8" ht="15" customHeight="1" x14ac:dyDescent="0.2">
      <c r="A104" s="3">
        <v>20</v>
      </c>
      <c r="B104" s="19" t="s">
        <v>528</v>
      </c>
      <c r="C104" s="19"/>
      <c r="D104" s="19"/>
      <c r="E104" s="19"/>
      <c r="F104" s="19"/>
    </row>
    <row r="105" spans="1:8" ht="15" customHeight="1" x14ac:dyDescent="0.2">
      <c r="A105" s="3">
        <v>20</v>
      </c>
      <c r="B105" s="3" t="s">
        <v>0</v>
      </c>
      <c r="C105" s="8" t="s">
        <v>530</v>
      </c>
      <c r="D105" s="3" t="s">
        <v>7</v>
      </c>
      <c r="F105" s="2" t="b">
        <f t="shared" si="1"/>
        <v>0</v>
      </c>
      <c r="H105" s="18" t="s">
        <v>529</v>
      </c>
    </row>
    <row r="106" spans="1:8" ht="15" customHeight="1" x14ac:dyDescent="0.2">
      <c r="A106" s="3">
        <v>20</v>
      </c>
      <c r="B106" s="3" t="s">
        <v>1</v>
      </c>
      <c r="C106" s="8" t="s">
        <v>531</v>
      </c>
      <c r="D106" s="3" t="s">
        <v>8</v>
      </c>
      <c r="F106" s="2" t="b">
        <f t="shared" si="1"/>
        <v>0</v>
      </c>
      <c r="H106" s="18"/>
    </row>
    <row r="107" spans="1:8" ht="33" customHeight="1" x14ac:dyDescent="0.2">
      <c r="A107" s="3">
        <v>21</v>
      </c>
      <c r="B107" s="18" t="s">
        <v>532</v>
      </c>
      <c r="C107" s="18"/>
      <c r="D107" s="18"/>
      <c r="E107" s="18"/>
      <c r="F107" s="18"/>
    </row>
    <row r="108" spans="1:8" ht="15" customHeight="1" x14ac:dyDescent="0.2">
      <c r="A108" s="3">
        <v>21</v>
      </c>
      <c r="B108" s="3" t="s">
        <v>0</v>
      </c>
      <c r="C108" s="8" t="s">
        <v>534</v>
      </c>
      <c r="D108" s="3" t="s">
        <v>8</v>
      </c>
      <c r="F108" s="2" t="b">
        <f t="shared" si="1"/>
        <v>0</v>
      </c>
      <c r="H108" s="18" t="s">
        <v>533</v>
      </c>
    </row>
    <row r="109" spans="1:8" ht="15" customHeight="1" x14ac:dyDescent="0.2">
      <c r="A109" s="3">
        <v>21</v>
      </c>
      <c r="B109" s="3" t="s">
        <v>1</v>
      </c>
      <c r="C109" s="8" t="s">
        <v>535</v>
      </c>
      <c r="D109" s="3" t="s">
        <v>7</v>
      </c>
      <c r="F109" s="2" t="b">
        <f t="shared" si="1"/>
        <v>0</v>
      </c>
      <c r="H109" s="18"/>
    </row>
    <row r="110" spans="1:8" ht="15" customHeight="1" x14ac:dyDescent="0.2">
      <c r="A110" s="3">
        <v>21</v>
      </c>
      <c r="B110" s="3" t="s">
        <v>2</v>
      </c>
      <c r="C110" s="8" t="s">
        <v>536</v>
      </c>
      <c r="D110" s="3" t="s">
        <v>7</v>
      </c>
      <c r="F110" s="2" t="b">
        <f t="shared" si="1"/>
        <v>0</v>
      </c>
      <c r="H110" s="18"/>
    </row>
    <row r="111" spans="1:8" ht="15" customHeight="1" x14ac:dyDescent="0.2">
      <c r="A111" s="3">
        <v>21</v>
      </c>
      <c r="B111" s="3" t="s">
        <v>3</v>
      </c>
      <c r="C111" s="8" t="s">
        <v>537</v>
      </c>
      <c r="D111" s="3" t="s">
        <v>7</v>
      </c>
      <c r="F111" s="2" t="b">
        <f t="shared" si="1"/>
        <v>0</v>
      </c>
      <c r="H111" s="18"/>
    </row>
    <row r="112" spans="1:8" ht="33.75" customHeight="1" x14ac:dyDescent="0.2">
      <c r="A112" s="3">
        <v>22</v>
      </c>
      <c r="B112" s="18" t="s">
        <v>538</v>
      </c>
      <c r="C112" s="18"/>
      <c r="D112" s="18"/>
      <c r="E112" s="18"/>
      <c r="F112" s="18"/>
    </row>
    <row r="113" spans="1:8" ht="15" customHeight="1" x14ac:dyDescent="0.2">
      <c r="A113" s="3">
        <v>22</v>
      </c>
      <c r="B113" s="3" t="s">
        <v>0</v>
      </c>
      <c r="C113" s="8" t="s">
        <v>540</v>
      </c>
      <c r="D113" s="3" t="s">
        <v>8</v>
      </c>
      <c r="F113" s="2" t="b">
        <f t="shared" si="1"/>
        <v>0</v>
      </c>
      <c r="H113" s="18" t="s">
        <v>539</v>
      </c>
    </row>
    <row r="114" spans="1:8" ht="15" customHeight="1" x14ac:dyDescent="0.2">
      <c r="A114" s="3">
        <v>22</v>
      </c>
      <c r="B114" s="3" t="s">
        <v>1</v>
      </c>
      <c r="C114" s="8" t="s">
        <v>541</v>
      </c>
      <c r="D114" s="3" t="s">
        <v>7</v>
      </c>
      <c r="F114" s="2" t="b">
        <f t="shared" si="1"/>
        <v>0</v>
      </c>
      <c r="H114" s="18"/>
    </row>
    <row r="115" spans="1:8" ht="15" customHeight="1" x14ac:dyDescent="0.2">
      <c r="A115" s="3">
        <v>22</v>
      </c>
      <c r="B115" s="3" t="s">
        <v>2</v>
      </c>
      <c r="C115" s="8" t="s">
        <v>542</v>
      </c>
      <c r="D115" s="3" t="s">
        <v>8</v>
      </c>
      <c r="F115" s="2" t="b">
        <f t="shared" si="1"/>
        <v>0</v>
      </c>
      <c r="H115" s="18"/>
    </row>
    <row r="116" spans="1:8" ht="15" customHeight="1" x14ac:dyDescent="0.2">
      <c r="A116" s="3">
        <v>22</v>
      </c>
      <c r="B116" s="3" t="s">
        <v>3</v>
      </c>
      <c r="C116" s="8" t="s">
        <v>415</v>
      </c>
      <c r="D116" s="3" t="s">
        <v>8</v>
      </c>
      <c r="F116" s="2" t="b">
        <f t="shared" si="1"/>
        <v>0</v>
      </c>
      <c r="H116" s="18"/>
    </row>
    <row r="117" spans="1:8" ht="15" customHeight="1" x14ac:dyDescent="0.2">
      <c r="A117" s="3">
        <v>22</v>
      </c>
      <c r="B117" s="3" t="s">
        <v>6</v>
      </c>
      <c r="C117" s="8" t="s">
        <v>413</v>
      </c>
      <c r="D117" s="3" t="s">
        <v>7</v>
      </c>
      <c r="F117" s="2" t="b">
        <f t="shared" si="1"/>
        <v>0</v>
      </c>
      <c r="H117" s="18"/>
    </row>
    <row r="118" spans="1:8" ht="15" customHeight="1" x14ac:dyDescent="0.2">
      <c r="A118" s="3">
        <v>23</v>
      </c>
      <c r="B118" s="19" t="s">
        <v>543</v>
      </c>
      <c r="C118" s="19"/>
      <c r="D118" s="19"/>
      <c r="E118" s="19"/>
      <c r="F118" s="19"/>
    </row>
    <row r="119" spans="1:8" ht="15" customHeight="1" x14ac:dyDescent="0.2">
      <c r="A119" s="3">
        <v>23</v>
      </c>
      <c r="B119" s="3" t="s">
        <v>0</v>
      </c>
      <c r="C119" s="8" t="s">
        <v>545</v>
      </c>
      <c r="D119" s="3" t="s">
        <v>8</v>
      </c>
      <c r="F119" s="2" t="b">
        <f t="shared" si="1"/>
        <v>0</v>
      </c>
      <c r="H119" s="18" t="s">
        <v>544</v>
      </c>
    </row>
    <row r="120" spans="1:8" ht="15" customHeight="1" x14ac:dyDescent="0.2">
      <c r="A120" s="3">
        <v>23</v>
      </c>
      <c r="B120" s="3" t="s">
        <v>1</v>
      </c>
      <c r="C120" s="8" t="s">
        <v>147</v>
      </c>
      <c r="D120" s="3" t="s">
        <v>8</v>
      </c>
      <c r="F120" s="2" t="b">
        <f t="shared" si="1"/>
        <v>0</v>
      </c>
      <c r="H120" s="18"/>
    </row>
    <row r="121" spans="1:8" ht="15" customHeight="1" x14ac:dyDescent="0.2">
      <c r="A121" s="3">
        <v>23</v>
      </c>
      <c r="B121" s="3" t="s">
        <v>2</v>
      </c>
      <c r="C121" s="8" t="s">
        <v>546</v>
      </c>
      <c r="D121" s="3" t="s">
        <v>8</v>
      </c>
      <c r="F121" s="2" t="b">
        <f t="shared" si="1"/>
        <v>0</v>
      </c>
      <c r="H121" s="18"/>
    </row>
    <row r="122" spans="1:8" ht="15" customHeight="1" x14ac:dyDescent="0.2">
      <c r="A122" s="3">
        <v>23</v>
      </c>
      <c r="B122" s="3" t="s">
        <v>3</v>
      </c>
      <c r="C122" s="8" t="s">
        <v>547</v>
      </c>
      <c r="D122" s="3" t="s">
        <v>7</v>
      </c>
      <c r="F122" s="2" t="b">
        <f t="shared" si="1"/>
        <v>0</v>
      </c>
      <c r="H122" s="18"/>
    </row>
    <row r="123" spans="1:8" ht="15" customHeight="1" x14ac:dyDescent="0.2">
      <c r="A123" s="3">
        <v>23</v>
      </c>
      <c r="B123" s="3" t="s">
        <v>6</v>
      </c>
      <c r="C123" s="8" t="s">
        <v>548</v>
      </c>
      <c r="D123" s="3" t="s">
        <v>7</v>
      </c>
      <c r="F123" s="2" t="b">
        <f t="shared" si="1"/>
        <v>0</v>
      </c>
      <c r="H123" s="18"/>
    </row>
    <row r="124" spans="1:8" ht="30" customHeight="1" x14ac:dyDescent="0.2">
      <c r="A124" s="3">
        <v>24</v>
      </c>
      <c r="B124" s="18" t="s">
        <v>549</v>
      </c>
      <c r="C124" s="18"/>
      <c r="D124" s="18"/>
      <c r="E124" s="18"/>
      <c r="F124" s="18"/>
    </row>
    <row r="125" spans="1:8" ht="15" customHeight="1" x14ac:dyDescent="0.2">
      <c r="A125" s="3">
        <v>24</v>
      </c>
      <c r="B125" s="3" t="s">
        <v>0</v>
      </c>
      <c r="C125" s="8" t="s">
        <v>551</v>
      </c>
      <c r="D125" s="3" t="s">
        <v>7</v>
      </c>
      <c r="F125" s="2" t="b">
        <f t="shared" si="1"/>
        <v>0</v>
      </c>
      <c r="H125" s="18" t="s">
        <v>550</v>
      </c>
    </row>
    <row r="126" spans="1:8" ht="15" customHeight="1" x14ac:dyDescent="0.2">
      <c r="A126" s="3">
        <v>24</v>
      </c>
      <c r="B126" s="3" t="s">
        <v>1</v>
      </c>
      <c r="C126" s="8" t="s">
        <v>552</v>
      </c>
      <c r="D126" s="3" t="s">
        <v>8</v>
      </c>
      <c r="F126" s="2" t="b">
        <f t="shared" si="1"/>
        <v>0</v>
      </c>
      <c r="H126" s="18"/>
    </row>
    <row r="127" spans="1:8" ht="15" customHeight="1" x14ac:dyDescent="0.2">
      <c r="A127" s="3">
        <v>24</v>
      </c>
      <c r="B127" s="3" t="s">
        <v>2</v>
      </c>
      <c r="C127" s="8" t="s">
        <v>553</v>
      </c>
      <c r="D127" s="3" t="s">
        <v>7</v>
      </c>
      <c r="F127" s="2" t="b">
        <f t="shared" si="1"/>
        <v>0</v>
      </c>
      <c r="H127" s="18"/>
    </row>
    <row r="128" spans="1:8" ht="15" customHeight="1" x14ac:dyDescent="0.2">
      <c r="A128" s="3">
        <v>24</v>
      </c>
      <c r="B128" s="3" t="s">
        <v>3</v>
      </c>
      <c r="C128" s="8" t="s">
        <v>554</v>
      </c>
      <c r="D128" s="3" t="s">
        <v>8</v>
      </c>
      <c r="F128" s="2" t="b">
        <f t="shared" si="1"/>
        <v>0</v>
      </c>
      <c r="H128" s="18"/>
    </row>
    <row r="129" spans="1:8" ht="15" customHeight="1" x14ac:dyDescent="0.2">
      <c r="A129" s="3">
        <v>24</v>
      </c>
      <c r="B129" s="3" t="s">
        <v>6</v>
      </c>
      <c r="C129" s="8" t="s">
        <v>555</v>
      </c>
      <c r="D129" s="3" t="s">
        <v>8</v>
      </c>
      <c r="F129" s="2" t="b">
        <f t="shared" si="1"/>
        <v>0</v>
      </c>
      <c r="H129" s="18"/>
    </row>
    <row r="130" spans="1:8" ht="30" customHeight="1" x14ac:dyDescent="0.2">
      <c r="A130" s="3">
        <v>25</v>
      </c>
      <c r="B130" s="18" t="s">
        <v>556</v>
      </c>
      <c r="C130" s="18"/>
      <c r="D130" s="18"/>
      <c r="E130" s="18"/>
      <c r="F130" s="18"/>
    </row>
    <row r="131" spans="1:8" ht="15" customHeight="1" x14ac:dyDescent="0.2">
      <c r="A131" s="3">
        <v>25</v>
      </c>
      <c r="B131" s="3" t="s">
        <v>0</v>
      </c>
      <c r="C131" s="8" t="s">
        <v>558</v>
      </c>
      <c r="D131" s="3" t="s">
        <v>7</v>
      </c>
      <c r="F131" s="2" t="b">
        <f t="shared" si="1"/>
        <v>0</v>
      </c>
      <c r="H131" s="18" t="s">
        <v>557</v>
      </c>
    </row>
    <row r="132" spans="1:8" ht="15" customHeight="1" x14ac:dyDescent="0.2">
      <c r="A132" s="3">
        <v>25</v>
      </c>
      <c r="B132" s="3" t="s">
        <v>1</v>
      </c>
      <c r="C132" s="8" t="s">
        <v>559</v>
      </c>
      <c r="D132" s="3" t="s">
        <v>7</v>
      </c>
      <c r="F132" s="2" t="b">
        <f t="shared" ref="F132:F195" si="2">D132=E132</f>
        <v>0</v>
      </c>
      <c r="H132" s="18"/>
    </row>
    <row r="133" spans="1:8" ht="15" customHeight="1" x14ac:dyDescent="0.2">
      <c r="A133" s="3">
        <v>25</v>
      </c>
      <c r="B133" s="3" t="s">
        <v>2</v>
      </c>
      <c r="C133" s="8" t="s">
        <v>560</v>
      </c>
      <c r="D133" s="3" t="s">
        <v>8</v>
      </c>
      <c r="F133" s="2" t="b">
        <f t="shared" si="2"/>
        <v>0</v>
      </c>
      <c r="H133" s="18"/>
    </row>
    <row r="134" spans="1:8" ht="15" customHeight="1" x14ac:dyDescent="0.2">
      <c r="A134" s="3">
        <v>25</v>
      </c>
      <c r="B134" s="3" t="s">
        <v>3</v>
      </c>
      <c r="C134" s="8" t="s">
        <v>561</v>
      </c>
      <c r="D134" s="3" t="s">
        <v>7</v>
      </c>
      <c r="F134" s="2" t="b">
        <f t="shared" si="2"/>
        <v>0</v>
      </c>
      <c r="H134" s="18"/>
    </row>
    <row r="135" spans="1:8" ht="33" customHeight="1" x14ac:dyDescent="0.2">
      <c r="A135" s="3">
        <v>26</v>
      </c>
      <c r="B135" s="18" t="s">
        <v>562</v>
      </c>
      <c r="C135" s="18"/>
      <c r="D135" s="18"/>
      <c r="E135" s="18"/>
      <c r="F135" s="18"/>
    </row>
    <row r="136" spans="1:8" ht="15" customHeight="1" x14ac:dyDescent="0.2">
      <c r="A136" s="3">
        <v>26</v>
      </c>
      <c r="B136" s="3" t="s">
        <v>0</v>
      </c>
      <c r="C136" s="8" t="s">
        <v>564</v>
      </c>
      <c r="D136" s="3" t="s">
        <v>7</v>
      </c>
      <c r="F136" s="2" t="b">
        <f t="shared" si="2"/>
        <v>0</v>
      </c>
      <c r="H136" s="18" t="s">
        <v>563</v>
      </c>
    </row>
    <row r="137" spans="1:8" ht="15" customHeight="1" x14ac:dyDescent="0.2">
      <c r="A137" s="3">
        <v>26</v>
      </c>
      <c r="B137" s="3" t="s">
        <v>1</v>
      </c>
      <c r="C137" s="8" t="s">
        <v>565</v>
      </c>
      <c r="D137" s="3" t="s">
        <v>8</v>
      </c>
      <c r="F137" s="2" t="b">
        <f t="shared" si="2"/>
        <v>0</v>
      </c>
      <c r="H137" s="18"/>
    </row>
    <row r="138" spans="1:8" ht="15" customHeight="1" x14ac:dyDescent="0.2">
      <c r="A138" s="3">
        <v>26</v>
      </c>
      <c r="B138" s="3" t="s">
        <v>2</v>
      </c>
      <c r="C138" s="8" t="s">
        <v>566</v>
      </c>
      <c r="D138" s="3" t="s">
        <v>7</v>
      </c>
      <c r="F138" s="2" t="b">
        <f t="shared" si="2"/>
        <v>0</v>
      </c>
      <c r="H138" s="18"/>
    </row>
    <row r="139" spans="1:8" ht="15" customHeight="1" x14ac:dyDescent="0.2">
      <c r="A139" s="3">
        <v>26</v>
      </c>
      <c r="B139" s="3" t="s">
        <v>3</v>
      </c>
      <c r="C139" s="8" t="s">
        <v>567</v>
      </c>
      <c r="D139" s="3" t="s">
        <v>7</v>
      </c>
      <c r="F139" s="2" t="b">
        <f t="shared" si="2"/>
        <v>0</v>
      </c>
      <c r="H139" s="18"/>
    </row>
    <row r="140" spans="1:8" ht="31.5" customHeight="1" x14ac:dyDescent="0.2">
      <c r="A140" s="3">
        <v>27</v>
      </c>
      <c r="B140" s="18" t="s">
        <v>568</v>
      </c>
      <c r="C140" s="18"/>
      <c r="D140" s="18"/>
      <c r="E140" s="18"/>
      <c r="F140" s="18"/>
    </row>
    <row r="141" spans="1:8" ht="15" customHeight="1" x14ac:dyDescent="0.2">
      <c r="A141" s="3">
        <v>27</v>
      </c>
      <c r="B141" s="3" t="s">
        <v>0</v>
      </c>
      <c r="C141" s="8" t="s">
        <v>570</v>
      </c>
      <c r="D141" s="3" t="s">
        <v>7</v>
      </c>
      <c r="F141" s="2" t="b">
        <f t="shared" si="2"/>
        <v>0</v>
      </c>
      <c r="H141" s="18" t="s">
        <v>569</v>
      </c>
    </row>
    <row r="142" spans="1:8" ht="15" customHeight="1" x14ac:dyDescent="0.2">
      <c r="A142" s="3">
        <v>27</v>
      </c>
      <c r="B142" s="3" t="s">
        <v>1</v>
      </c>
      <c r="C142" s="8" t="s">
        <v>571</v>
      </c>
      <c r="D142" s="3" t="s">
        <v>8</v>
      </c>
      <c r="F142" s="2" t="b">
        <f t="shared" si="2"/>
        <v>0</v>
      </c>
      <c r="H142" s="18"/>
    </row>
    <row r="143" spans="1:8" ht="15" customHeight="1" x14ac:dyDescent="0.2">
      <c r="A143" s="3">
        <v>27</v>
      </c>
      <c r="B143" s="3" t="s">
        <v>2</v>
      </c>
      <c r="C143" s="8" t="s">
        <v>36</v>
      </c>
      <c r="D143" s="3" t="s">
        <v>7</v>
      </c>
      <c r="F143" s="2" t="b">
        <f t="shared" si="2"/>
        <v>0</v>
      </c>
      <c r="H143" s="18"/>
    </row>
    <row r="144" spans="1:8" ht="15" customHeight="1" x14ac:dyDescent="0.2">
      <c r="A144" s="3">
        <v>27</v>
      </c>
      <c r="B144" s="3" t="s">
        <v>3</v>
      </c>
      <c r="C144" s="8" t="s">
        <v>572</v>
      </c>
      <c r="D144" s="3" t="s">
        <v>7</v>
      </c>
      <c r="F144" s="2" t="b">
        <f t="shared" si="2"/>
        <v>0</v>
      </c>
      <c r="H144" s="18"/>
    </row>
    <row r="145" spans="1:8" ht="32.25" customHeight="1" x14ac:dyDescent="0.2">
      <c r="A145" s="3">
        <v>28</v>
      </c>
      <c r="B145" s="18" t="s">
        <v>573</v>
      </c>
      <c r="C145" s="18"/>
      <c r="D145" s="18"/>
      <c r="E145" s="18"/>
      <c r="F145" s="18"/>
    </row>
    <row r="146" spans="1:8" ht="15" customHeight="1" x14ac:dyDescent="0.2">
      <c r="A146" s="3">
        <v>28</v>
      </c>
      <c r="B146" s="3" t="s">
        <v>0</v>
      </c>
      <c r="C146" s="8" t="s">
        <v>575</v>
      </c>
      <c r="D146" s="3" t="s">
        <v>8</v>
      </c>
      <c r="F146" s="2" t="b">
        <f t="shared" si="2"/>
        <v>0</v>
      </c>
      <c r="H146" s="18" t="s">
        <v>574</v>
      </c>
    </row>
    <row r="147" spans="1:8" ht="15" customHeight="1" x14ac:dyDescent="0.2">
      <c r="A147" s="3">
        <v>28</v>
      </c>
      <c r="B147" s="3" t="s">
        <v>1</v>
      </c>
      <c r="C147" s="8" t="s">
        <v>576</v>
      </c>
      <c r="D147" s="3" t="s">
        <v>7</v>
      </c>
      <c r="F147" s="2" t="b">
        <f t="shared" si="2"/>
        <v>0</v>
      </c>
      <c r="H147" s="18"/>
    </row>
    <row r="148" spans="1:8" ht="15" customHeight="1" x14ac:dyDescent="0.2">
      <c r="A148" s="3">
        <v>28</v>
      </c>
      <c r="B148" s="3" t="s">
        <v>2</v>
      </c>
      <c r="C148" s="8" t="s">
        <v>577</v>
      </c>
      <c r="D148" s="3" t="s">
        <v>7</v>
      </c>
      <c r="F148" s="2" t="b">
        <f t="shared" si="2"/>
        <v>0</v>
      </c>
      <c r="H148" s="18"/>
    </row>
    <row r="149" spans="1:8" ht="15" customHeight="1" x14ac:dyDescent="0.2">
      <c r="A149" s="3">
        <v>28</v>
      </c>
      <c r="B149" s="3" t="s">
        <v>3</v>
      </c>
      <c r="C149" s="8" t="s">
        <v>578</v>
      </c>
      <c r="D149" s="3" t="s">
        <v>7</v>
      </c>
      <c r="F149" s="2" t="b">
        <f t="shared" si="2"/>
        <v>0</v>
      </c>
      <c r="H149" s="18"/>
    </row>
    <row r="150" spans="1:8" ht="34.5" customHeight="1" x14ac:dyDescent="0.2">
      <c r="A150" s="3">
        <v>29</v>
      </c>
      <c r="B150" s="18" t="s">
        <v>579</v>
      </c>
      <c r="C150" s="18"/>
      <c r="D150" s="18"/>
      <c r="E150" s="18"/>
      <c r="F150" s="18"/>
    </row>
    <row r="151" spans="1:8" ht="15" customHeight="1" x14ac:dyDescent="0.2">
      <c r="A151" s="3">
        <v>29</v>
      </c>
      <c r="B151" s="3" t="s">
        <v>0</v>
      </c>
      <c r="C151" s="8" t="s">
        <v>282</v>
      </c>
      <c r="D151" s="3" t="s">
        <v>7</v>
      </c>
      <c r="F151" s="2" t="b">
        <f t="shared" si="2"/>
        <v>0</v>
      </c>
      <c r="H151" s="18" t="s">
        <v>580</v>
      </c>
    </row>
    <row r="152" spans="1:8" ht="15" customHeight="1" x14ac:dyDescent="0.2">
      <c r="A152" s="3">
        <v>29</v>
      </c>
      <c r="B152" s="3" t="s">
        <v>1</v>
      </c>
      <c r="C152" s="8" t="s">
        <v>581</v>
      </c>
      <c r="D152" s="3" t="s">
        <v>8</v>
      </c>
      <c r="F152" s="2" t="b">
        <f t="shared" si="2"/>
        <v>0</v>
      </c>
      <c r="H152" s="18"/>
    </row>
    <row r="153" spans="1:8" ht="15" customHeight="1" x14ac:dyDescent="0.2">
      <c r="A153" s="3">
        <v>29</v>
      </c>
      <c r="B153" s="3" t="s">
        <v>2</v>
      </c>
      <c r="C153" s="8" t="s">
        <v>582</v>
      </c>
      <c r="D153" s="3" t="s">
        <v>7</v>
      </c>
      <c r="F153" s="2" t="b">
        <f t="shared" si="2"/>
        <v>0</v>
      </c>
      <c r="H153" s="18"/>
    </row>
    <row r="154" spans="1:8" ht="15" customHeight="1" x14ac:dyDescent="0.2">
      <c r="A154" s="3">
        <v>29</v>
      </c>
      <c r="B154" s="3" t="s">
        <v>3</v>
      </c>
      <c r="C154" s="8" t="s">
        <v>32</v>
      </c>
      <c r="D154" s="3" t="s">
        <v>7</v>
      </c>
      <c r="F154" s="2" t="b">
        <f t="shared" si="2"/>
        <v>0</v>
      </c>
      <c r="H154" s="18"/>
    </row>
    <row r="155" spans="1:8" ht="48.75" customHeight="1" x14ac:dyDescent="0.2">
      <c r="A155" s="3">
        <v>30</v>
      </c>
      <c r="B155" s="18" t="s">
        <v>583</v>
      </c>
      <c r="C155" s="18"/>
      <c r="D155" s="18"/>
      <c r="E155" s="18"/>
      <c r="F155" s="18"/>
    </row>
    <row r="156" spans="1:8" ht="15" customHeight="1" x14ac:dyDescent="0.2">
      <c r="A156" s="3">
        <v>30</v>
      </c>
      <c r="B156" s="3" t="s">
        <v>0</v>
      </c>
      <c r="C156" s="8" t="s">
        <v>585</v>
      </c>
      <c r="D156" s="3" t="s">
        <v>7</v>
      </c>
      <c r="F156" s="2" t="b">
        <f t="shared" si="2"/>
        <v>0</v>
      </c>
      <c r="H156" s="18" t="s">
        <v>584</v>
      </c>
    </row>
    <row r="157" spans="1:8" ht="15" customHeight="1" x14ac:dyDescent="0.2">
      <c r="A157" s="3">
        <v>30</v>
      </c>
      <c r="B157" s="3" t="s">
        <v>1</v>
      </c>
      <c r="C157" s="8" t="s">
        <v>586</v>
      </c>
      <c r="D157" s="3" t="s">
        <v>7</v>
      </c>
      <c r="F157" s="2" t="b">
        <f t="shared" si="2"/>
        <v>0</v>
      </c>
      <c r="H157" s="18"/>
    </row>
    <row r="158" spans="1:8" ht="15" customHeight="1" x14ac:dyDescent="0.2">
      <c r="A158" s="3">
        <v>30</v>
      </c>
      <c r="B158" s="3" t="s">
        <v>2</v>
      </c>
      <c r="C158" s="8" t="s">
        <v>587</v>
      </c>
      <c r="D158" s="3" t="s">
        <v>8</v>
      </c>
      <c r="F158" s="2" t="b">
        <f t="shared" si="2"/>
        <v>0</v>
      </c>
      <c r="H158" s="18"/>
    </row>
    <row r="159" spans="1:8" ht="15" customHeight="1" x14ac:dyDescent="0.2">
      <c r="A159" s="3">
        <v>30</v>
      </c>
      <c r="B159" s="3" t="s">
        <v>3</v>
      </c>
      <c r="C159" s="8" t="s">
        <v>588</v>
      </c>
      <c r="D159" s="3" t="s">
        <v>7</v>
      </c>
      <c r="F159" s="2" t="b">
        <f t="shared" si="2"/>
        <v>0</v>
      </c>
      <c r="H159" s="18"/>
    </row>
    <row r="160" spans="1:8" ht="15" customHeight="1" x14ac:dyDescent="0.2">
      <c r="A160" s="3">
        <v>31</v>
      </c>
      <c r="B160" s="18" t="s">
        <v>589</v>
      </c>
      <c r="C160" s="18"/>
      <c r="D160" s="18"/>
      <c r="E160" s="18"/>
      <c r="F160" s="18"/>
    </row>
    <row r="161" spans="1:8" ht="15" customHeight="1" x14ac:dyDescent="0.2">
      <c r="A161" s="3">
        <v>31</v>
      </c>
      <c r="B161" s="3" t="s">
        <v>0</v>
      </c>
      <c r="C161" s="8" t="s">
        <v>591</v>
      </c>
      <c r="D161" s="3" t="s">
        <v>7</v>
      </c>
      <c r="F161" s="2" t="b">
        <f t="shared" si="2"/>
        <v>0</v>
      </c>
      <c r="H161" s="18" t="s">
        <v>590</v>
      </c>
    </row>
    <row r="162" spans="1:8" ht="15" customHeight="1" x14ac:dyDescent="0.2">
      <c r="A162" s="3">
        <v>31</v>
      </c>
      <c r="B162" s="3" t="s">
        <v>1</v>
      </c>
      <c r="C162" s="8" t="s">
        <v>592</v>
      </c>
      <c r="D162" s="3" t="s">
        <v>8</v>
      </c>
      <c r="F162" s="2" t="b">
        <f t="shared" si="2"/>
        <v>0</v>
      </c>
      <c r="H162" s="18"/>
    </row>
    <row r="163" spans="1:8" ht="15" customHeight="1" x14ac:dyDescent="0.2">
      <c r="A163" s="3">
        <v>31</v>
      </c>
      <c r="B163" s="3" t="s">
        <v>2</v>
      </c>
      <c r="C163" s="8" t="s">
        <v>593</v>
      </c>
      <c r="D163" s="3" t="s">
        <v>7</v>
      </c>
      <c r="F163" s="2" t="b">
        <f t="shared" si="2"/>
        <v>0</v>
      </c>
      <c r="H163" s="18"/>
    </row>
    <row r="164" spans="1:8" ht="15" customHeight="1" x14ac:dyDescent="0.2">
      <c r="A164" s="3">
        <v>31</v>
      </c>
      <c r="B164" s="3" t="s">
        <v>3</v>
      </c>
      <c r="C164" s="8" t="s">
        <v>594</v>
      </c>
      <c r="D164" s="3" t="s">
        <v>7</v>
      </c>
      <c r="F164" s="2" t="b">
        <f t="shared" si="2"/>
        <v>0</v>
      </c>
      <c r="H164" s="18"/>
    </row>
    <row r="165" spans="1:8" ht="15" customHeight="1" x14ac:dyDescent="0.2">
      <c r="A165" s="3">
        <v>32</v>
      </c>
      <c r="B165" s="19" t="s">
        <v>595</v>
      </c>
      <c r="C165" s="19"/>
      <c r="D165" s="19"/>
      <c r="E165" s="19"/>
      <c r="F165" s="19"/>
    </row>
    <row r="166" spans="1:8" ht="15" customHeight="1" x14ac:dyDescent="0.2">
      <c r="A166" s="3">
        <v>32</v>
      </c>
      <c r="B166" s="3" t="s">
        <v>0</v>
      </c>
      <c r="C166" s="8" t="s">
        <v>597</v>
      </c>
      <c r="D166" s="3" t="s">
        <v>8</v>
      </c>
      <c r="F166" s="2" t="b">
        <f t="shared" si="2"/>
        <v>0</v>
      </c>
      <c r="H166" s="19" t="s">
        <v>596</v>
      </c>
    </row>
    <row r="167" spans="1:8" ht="15" customHeight="1" x14ac:dyDescent="0.2">
      <c r="A167" s="3">
        <v>32</v>
      </c>
      <c r="B167" s="3" t="s">
        <v>1</v>
      </c>
      <c r="C167" s="8" t="s">
        <v>598</v>
      </c>
      <c r="D167" s="3" t="s">
        <v>7</v>
      </c>
      <c r="F167" s="2" t="b">
        <f t="shared" si="2"/>
        <v>0</v>
      </c>
      <c r="H167" s="19"/>
    </row>
    <row r="168" spans="1:8" ht="15" customHeight="1" x14ac:dyDescent="0.2">
      <c r="A168" s="3">
        <v>32</v>
      </c>
      <c r="B168" s="3" t="s">
        <v>2</v>
      </c>
      <c r="C168" s="8" t="s">
        <v>599</v>
      </c>
      <c r="D168" s="3" t="s">
        <v>8</v>
      </c>
      <c r="F168" s="2" t="b">
        <f t="shared" si="2"/>
        <v>0</v>
      </c>
      <c r="H168" s="19"/>
    </row>
    <row r="169" spans="1:8" ht="15" customHeight="1" x14ac:dyDescent="0.2">
      <c r="A169" s="3">
        <v>32</v>
      </c>
      <c r="B169" s="3" t="s">
        <v>3</v>
      </c>
      <c r="C169" s="8" t="s">
        <v>600</v>
      </c>
      <c r="D169" s="3" t="s">
        <v>7</v>
      </c>
      <c r="F169" s="2" t="b">
        <f t="shared" si="2"/>
        <v>0</v>
      </c>
      <c r="H169" s="19"/>
    </row>
    <row r="170" spans="1:8" ht="33.75" customHeight="1" x14ac:dyDescent="0.2">
      <c r="A170" s="3">
        <v>33</v>
      </c>
      <c r="B170" s="18" t="s">
        <v>601</v>
      </c>
      <c r="C170" s="18"/>
      <c r="D170" s="18"/>
      <c r="E170" s="18"/>
      <c r="F170" s="18"/>
    </row>
    <row r="171" spans="1:8" ht="15" customHeight="1" x14ac:dyDescent="0.2">
      <c r="A171" s="3">
        <v>33</v>
      </c>
      <c r="B171" s="3" t="s">
        <v>0</v>
      </c>
      <c r="C171" s="8" t="s">
        <v>603</v>
      </c>
      <c r="D171" s="3" t="s">
        <v>7</v>
      </c>
      <c r="F171" s="2" t="b">
        <f t="shared" si="2"/>
        <v>0</v>
      </c>
      <c r="H171" s="18" t="s">
        <v>602</v>
      </c>
    </row>
    <row r="172" spans="1:8" ht="15" customHeight="1" x14ac:dyDescent="0.2">
      <c r="A172" s="3">
        <v>33</v>
      </c>
      <c r="B172" s="3" t="s">
        <v>1</v>
      </c>
      <c r="C172" s="8" t="s">
        <v>604</v>
      </c>
      <c r="D172" s="3" t="s">
        <v>8</v>
      </c>
      <c r="F172" s="2" t="b">
        <f t="shared" si="2"/>
        <v>0</v>
      </c>
      <c r="H172" s="18"/>
    </row>
    <row r="173" spans="1:8" ht="15" customHeight="1" x14ac:dyDescent="0.2">
      <c r="A173" s="3">
        <v>33</v>
      </c>
      <c r="B173" s="3" t="s">
        <v>2</v>
      </c>
      <c r="C173" s="8" t="s">
        <v>605</v>
      </c>
      <c r="D173" s="3" t="s">
        <v>7</v>
      </c>
      <c r="F173" s="2" t="b">
        <f t="shared" si="2"/>
        <v>0</v>
      </c>
      <c r="H173" s="18"/>
    </row>
    <row r="174" spans="1:8" ht="15" customHeight="1" x14ac:dyDescent="0.2">
      <c r="A174" s="3">
        <v>33</v>
      </c>
      <c r="B174" s="3" t="s">
        <v>3</v>
      </c>
      <c r="C174" s="8" t="s">
        <v>606</v>
      </c>
      <c r="D174" s="3" t="s">
        <v>7</v>
      </c>
      <c r="F174" s="2" t="b">
        <f t="shared" si="2"/>
        <v>0</v>
      </c>
      <c r="H174" s="18"/>
    </row>
    <row r="175" spans="1:8" ht="15" customHeight="1" x14ac:dyDescent="0.2">
      <c r="A175" s="3">
        <v>34</v>
      </c>
      <c r="B175" s="19" t="s">
        <v>607</v>
      </c>
      <c r="C175" s="19"/>
      <c r="D175" s="19"/>
      <c r="E175" s="19"/>
      <c r="F175" s="19"/>
    </row>
    <row r="176" spans="1:8" ht="15" customHeight="1" x14ac:dyDescent="0.2">
      <c r="A176" s="3">
        <v>34</v>
      </c>
      <c r="B176" s="3" t="s">
        <v>0</v>
      </c>
      <c r="C176" s="8" t="s">
        <v>609</v>
      </c>
      <c r="D176" s="3" t="s">
        <v>7</v>
      </c>
      <c r="F176" s="2" t="b">
        <f t="shared" si="2"/>
        <v>0</v>
      </c>
      <c r="H176" s="18" t="s">
        <v>608</v>
      </c>
    </row>
    <row r="177" spans="1:8" ht="15" customHeight="1" x14ac:dyDescent="0.2">
      <c r="A177" s="3">
        <v>34</v>
      </c>
      <c r="B177" s="3" t="s">
        <v>1</v>
      </c>
      <c r="C177" s="8" t="s">
        <v>610</v>
      </c>
      <c r="D177" s="3" t="s">
        <v>7</v>
      </c>
      <c r="F177" s="2" t="b">
        <f t="shared" si="2"/>
        <v>0</v>
      </c>
      <c r="H177" s="18"/>
    </row>
    <row r="178" spans="1:8" ht="15" customHeight="1" x14ac:dyDescent="0.2">
      <c r="A178" s="3">
        <v>34</v>
      </c>
      <c r="B178" s="3" t="s">
        <v>2</v>
      </c>
      <c r="C178" s="8" t="s">
        <v>611</v>
      </c>
      <c r="D178" s="3" t="s">
        <v>7</v>
      </c>
      <c r="F178" s="2" t="b">
        <f t="shared" si="2"/>
        <v>0</v>
      </c>
      <c r="H178" s="18"/>
    </row>
    <row r="179" spans="1:8" ht="31.5" customHeight="1" x14ac:dyDescent="0.2">
      <c r="A179" s="3">
        <v>34</v>
      </c>
      <c r="B179" s="3" t="s">
        <v>3</v>
      </c>
      <c r="C179" s="10" t="s">
        <v>612</v>
      </c>
      <c r="D179" s="3" t="s">
        <v>8</v>
      </c>
      <c r="F179" s="2" t="b">
        <f t="shared" si="2"/>
        <v>0</v>
      </c>
      <c r="H179" s="18"/>
    </row>
    <row r="180" spans="1:8" ht="31.5" customHeight="1" x14ac:dyDescent="0.2">
      <c r="A180" s="3">
        <v>35</v>
      </c>
      <c r="B180" s="18" t="s">
        <v>613</v>
      </c>
      <c r="C180" s="18"/>
      <c r="D180" s="18"/>
      <c r="E180" s="18"/>
      <c r="F180" s="18"/>
    </row>
    <row r="181" spans="1:8" ht="15" customHeight="1" x14ac:dyDescent="0.2">
      <c r="A181" s="3">
        <v>35</v>
      </c>
      <c r="B181" s="3" t="s">
        <v>0</v>
      </c>
      <c r="C181" s="8" t="s">
        <v>615</v>
      </c>
      <c r="D181" s="3" t="s">
        <v>7</v>
      </c>
      <c r="F181" s="2" t="b">
        <f t="shared" si="2"/>
        <v>0</v>
      </c>
      <c r="H181" s="18" t="s">
        <v>614</v>
      </c>
    </row>
    <row r="182" spans="1:8" ht="15" customHeight="1" x14ac:dyDescent="0.2">
      <c r="A182" s="3">
        <v>35</v>
      </c>
      <c r="B182" s="3" t="s">
        <v>1</v>
      </c>
      <c r="C182" s="8" t="s">
        <v>616</v>
      </c>
      <c r="D182" s="3" t="s">
        <v>7</v>
      </c>
      <c r="F182" s="2" t="b">
        <f t="shared" si="2"/>
        <v>0</v>
      </c>
      <c r="H182" s="18"/>
    </row>
    <row r="183" spans="1:8" ht="15" customHeight="1" x14ac:dyDescent="0.2">
      <c r="A183" s="3">
        <v>35</v>
      </c>
      <c r="B183" s="3" t="s">
        <v>2</v>
      </c>
      <c r="C183" s="8" t="s">
        <v>617</v>
      </c>
      <c r="D183" s="3" t="s">
        <v>8</v>
      </c>
      <c r="F183" s="2" t="b">
        <f t="shared" si="2"/>
        <v>0</v>
      </c>
      <c r="H183" s="18"/>
    </row>
    <row r="184" spans="1:8" ht="15" customHeight="1" x14ac:dyDescent="0.2">
      <c r="A184" s="3">
        <v>35</v>
      </c>
      <c r="B184" s="3" t="s">
        <v>3</v>
      </c>
      <c r="C184" s="8" t="s">
        <v>618</v>
      </c>
      <c r="D184" s="3" t="s">
        <v>7</v>
      </c>
      <c r="F184" s="2" t="b">
        <f t="shared" si="2"/>
        <v>0</v>
      </c>
      <c r="H184" s="18"/>
    </row>
    <row r="185" spans="1:8" ht="33.75" customHeight="1" x14ac:dyDescent="0.2">
      <c r="A185" s="3">
        <v>36</v>
      </c>
      <c r="B185" s="18" t="s">
        <v>619</v>
      </c>
      <c r="C185" s="18"/>
      <c r="D185" s="18"/>
      <c r="E185" s="18"/>
      <c r="F185" s="18"/>
    </row>
    <row r="186" spans="1:8" ht="15" customHeight="1" x14ac:dyDescent="0.2">
      <c r="A186" s="3">
        <v>36</v>
      </c>
      <c r="B186" s="3" t="s">
        <v>0</v>
      </c>
      <c r="C186" s="8" t="s">
        <v>621</v>
      </c>
      <c r="D186" s="3" t="s">
        <v>8</v>
      </c>
      <c r="F186" s="2" t="b">
        <f t="shared" si="2"/>
        <v>0</v>
      </c>
      <c r="H186" s="18" t="s">
        <v>620</v>
      </c>
    </row>
    <row r="187" spans="1:8" ht="15" customHeight="1" x14ac:dyDescent="0.2">
      <c r="A187" s="3">
        <v>36</v>
      </c>
      <c r="B187" s="3" t="s">
        <v>1</v>
      </c>
      <c r="C187" s="8" t="s">
        <v>622</v>
      </c>
      <c r="D187" s="3" t="s">
        <v>7</v>
      </c>
      <c r="F187" s="2" t="b">
        <f t="shared" si="2"/>
        <v>0</v>
      </c>
      <c r="H187" s="18"/>
    </row>
    <row r="188" spans="1:8" ht="15" customHeight="1" x14ac:dyDescent="0.2">
      <c r="A188" s="3">
        <v>36</v>
      </c>
      <c r="B188" s="3" t="s">
        <v>2</v>
      </c>
      <c r="C188" s="8" t="s">
        <v>623</v>
      </c>
      <c r="D188" s="3" t="s">
        <v>7</v>
      </c>
      <c r="F188" s="2" t="b">
        <f t="shared" si="2"/>
        <v>0</v>
      </c>
      <c r="H188" s="18"/>
    </row>
    <row r="189" spans="1:8" ht="15" customHeight="1" x14ac:dyDescent="0.2">
      <c r="A189" s="3">
        <v>36</v>
      </c>
      <c r="B189" s="3" t="s">
        <v>3</v>
      </c>
      <c r="C189" s="8" t="s">
        <v>624</v>
      </c>
      <c r="D189" s="3" t="s">
        <v>7</v>
      </c>
      <c r="F189" s="2" t="b">
        <f t="shared" si="2"/>
        <v>0</v>
      </c>
      <c r="H189" s="18"/>
    </row>
    <row r="190" spans="1:8" ht="15" customHeight="1" x14ac:dyDescent="0.2">
      <c r="A190" s="3">
        <v>37</v>
      </c>
      <c r="B190" s="19" t="s">
        <v>625</v>
      </c>
      <c r="C190" s="19"/>
      <c r="D190" s="19"/>
      <c r="E190" s="19"/>
      <c r="F190" s="19"/>
    </row>
    <row r="191" spans="1:8" ht="15" customHeight="1" x14ac:dyDescent="0.2">
      <c r="A191" s="3">
        <v>37</v>
      </c>
      <c r="B191" s="3" t="s">
        <v>0</v>
      </c>
      <c r="C191" s="8" t="s">
        <v>531</v>
      </c>
      <c r="D191" s="3" t="s">
        <v>8</v>
      </c>
      <c r="F191" s="2" t="b">
        <f t="shared" si="2"/>
        <v>0</v>
      </c>
      <c r="H191" s="18" t="s">
        <v>626</v>
      </c>
    </row>
    <row r="192" spans="1:8" ht="15" customHeight="1" x14ac:dyDescent="0.2">
      <c r="A192" s="3">
        <v>37</v>
      </c>
      <c r="B192" s="3" t="s">
        <v>1</v>
      </c>
      <c r="C192" s="8" t="s">
        <v>530</v>
      </c>
      <c r="D192" s="3" t="s">
        <v>7</v>
      </c>
      <c r="F192" s="2" t="b">
        <f t="shared" si="2"/>
        <v>0</v>
      </c>
      <c r="H192" s="18"/>
    </row>
    <row r="193" spans="1:8" ht="15" customHeight="1" x14ac:dyDescent="0.2">
      <c r="A193" s="3">
        <v>38</v>
      </c>
      <c r="B193" s="19" t="s">
        <v>627</v>
      </c>
      <c r="C193" s="19"/>
      <c r="D193" s="19"/>
      <c r="E193" s="19"/>
      <c r="F193" s="19"/>
    </row>
    <row r="194" spans="1:8" ht="15" customHeight="1" x14ac:dyDescent="0.2">
      <c r="A194" s="3">
        <v>38</v>
      </c>
      <c r="B194" s="3" t="s">
        <v>0</v>
      </c>
      <c r="C194" s="8" t="s">
        <v>629</v>
      </c>
      <c r="D194" s="3" t="s">
        <v>7</v>
      </c>
      <c r="F194" s="2" t="b">
        <f t="shared" si="2"/>
        <v>0</v>
      </c>
      <c r="H194" s="18" t="s">
        <v>628</v>
      </c>
    </row>
    <row r="195" spans="1:8" ht="15" customHeight="1" x14ac:dyDescent="0.2">
      <c r="A195" s="3">
        <v>38</v>
      </c>
      <c r="B195" s="3" t="s">
        <v>1</v>
      </c>
      <c r="C195" s="8" t="s">
        <v>630</v>
      </c>
      <c r="D195" s="3" t="s">
        <v>7</v>
      </c>
      <c r="F195" s="2" t="b">
        <f t="shared" si="2"/>
        <v>0</v>
      </c>
      <c r="H195" s="18"/>
    </row>
    <row r="196" spans="1:8" ht="15" customHeight="1" x14ac:dyDescent="0.2">
      <c r="A196" s="3">
        <v>38</v>
      </c>
      <c r="B196" s="3" t="s">
        <v>2</v>
      </c>
      <c r="C196" s="8" t="s">
        <v>631</v>
      </c>
      <c r="D196" s="3" t="s">
        <v>8</v>
      </c>
      <c r="F196" s="2" t="b">
        <f t="shared" ref="F196:F259" si="3">D196=E196</f>
        <v>0</v>
      </c>
      <c r="H196" s="18"/>
    </row>
    <row r="197" spans="1:8" ht="15" customHeight="1" x14ac:dyDescent="0.2">
      <c r="A197" s="3">
        <v>38</v>
      </c>
      <c r="B197" s="3" t="s">
        <v>3</v>
      </c>
      <c r="C197" s="8" t="s">
        <v>632</v>
      </c>
      <c r="D197" s="3" t="s">
        <v>7</v>
      </c>
      <c r="F197" s="2" t="b">
        <f t="shared" si="3"/>
        <v>0</v>
      </c>
      <c r="H197" s="18"/>
    </row>
    <row r="198" spans="1:8" ht="57.75" customHeight="1" x14ac:dyDescent="0.2">
      <c r="A198" s="3">
        <v>39</v>
      </c>
      <c r="B198" s="18" t="s">
        <v>633</v>
      </c>
      <c r="C198" s="18"/>
      <c r="D198" s="18"/>
      <c r="E198" s="18"/>
      <c r="F198" s="18"/>
    </row>
    <row r="199" spans="1:8" ht="15" customHeight="1" x14ac:dyDescent="0.2">
      <c r="A199" s="3">
        <v>39</v>
      </c>
      <c r="B199" s="3" t="s">
        <v>0</v>
      </c>
      <c r="C199" s="8" t="s">
        <v>635</v>
      </c>
      <c r="D199" s="3" t="s">
        <v>7</v>
      </c>
      <c r="F199" s="2" t="b">
        <f t="shared" si="3"/>
        <v>0</v>
      </c>
      <c r="H199" s="18" t="s">
        <v>634</v>
      </c>
    </row>
    <row r="200" spans="1:8" ht="15" customHeight="1" x14ac:dyDescent="0.2">
      <c r="A200" s="3">
        <v>39</v>
      </c>
      <c r="B200" s="3" t="s">
        <v>1</v>
      </c>
      <c r="C200" s="8" t="s">
        <v>636</v>
      </c>
      <c r="D200" s="3" t="s">
        <v>8</v>
      </c>
      <c r="F200" s="2" t="b">
        <f t="shared" si="3"/>
        <v>0</v>
      </c>
      <c r="H200" s="18"/>
    </row>
    <row r="201" spans="1:8" ht="15" customHeight="1" x14ac:dyDescent="0.2">
      <c r="A201" s="3">
        <v>39</v>
      </c>
      <c r="B201" s="3" t="s">
        <v>2</v>
      </c>
      <c r="C201" s="8" t="s">
        <v>637</v>
      </c>
      <c r="D201" s="3" t="s">
        <v>7</v>
      </c>
      <c r="F201" s="2" t="b">
        <f t="shared" si="3"/>
        <v>0</v>
      </c>
      <c r="H201" s="18"/>
    </row>
    <row r="202" spans="1:8" ht="15" customHeight="1" x14ac:dyDescent="0.2">
      <c r="A202" s="3">
        <v>39</v>
      </c>
      <c r="B202" s="3" t="s">
        <v>3</v>
      </c>
      <c r="C202" s="8" t="s">
        <v>638</v>
      </c>
      <c r="D202" s="3" t="s">
        <v>7</v>
      </c>
      <c r="F202" s="2" t="b">
        <f t="shared" si="3"/>
        <v>0</v>
      </c>
      <c r="H202" s="18"/>
    </row>
    <row r="203" spans="1:8" ht="50.25" customHeight="1" x14ac:dyDescent="0.2">
      <c r="A203" s="3">
        <v>40</v>
      </c>
      <c r="B203" s="18" t="s">
        <v>639</v>
      </c>
      <c r="C203" s="18"/>
      <c r="D203" s="18"/>
      <c r="E203" s="18"/>
      <c r="F203" s="18"/>
    </row>
    <row r="204" spans="1:8" ht="15" customHeight="1" x14ac:dyDescent="0.2">
      <c r="A204" s="3">
        <v>40</v>
      </c>
      <c r="B204" s="3" t="s">
        <v>0</v>
      </c>
      <c r="C204" s="8" t="s">
        <v>641</v>
      </c>
      <c r="D204" s="3" t="s">
        <v>7</v>
      </c>
      <c r="F204" s="2" t="b">
        <f t="shared" si="3"/>
        <v>0</v>
      </c>
      <c r="H204" s="18" t="s">
        <v>640</v>
      </c>
    </row>
    <row r="205" spans="1:8" ht="15" customHeight="1" x14ac:dyDescent="0.2">
      <c r="A205" s="3">
        <v>40</v>
      </c>
      <c r="B205" s="3" t="s">
        <v>1</v>
      </c>
      <c r="C205" s="8" t="s">
        <v>642</v>
      </c>
      <c r="D205" s="3" t="s">
        <v>7</v>
      </c>
      <c r="F205" s="2" t="b">
        <f t="shared" si="3"/>
        <v>0</v>
      </c>
      <c r="H205" s="18"/>
    </row>
    <row r="206" spans="1:8" ht="15" customHeight="1" x14ac:dyDescent="0.2">
      <c r="A206" s="3">
        <v>40</v>
      </c>
      <c r="B206" s="3" t="s">
        <v>2</v>
      </c>
      <c r="C206" s="8" t="s">
        <v>643</v>
      </c>
      <c r="D206" s="3" t="s">
        <v>8</v>
      </c>
      <c r="F206" s="2" t="b">
        <f t="shared" si="3"/>
        <v>0</v>
      </c>
      <c r="H206" s="18"/>
    </row>
    <row r="207" spans="1:8" ht="15" customHeight="1" x14ac:dyDescent="0.2">
      <c r="A207" s="3">
        <v>40</v>
      </c>
      <c r="B207" s="3" t="s">
        <v>3</v>
      </c>
      <c r="C207" s="8" t="s">
        <v>644</v>
      </c>
      <c r="D207" s="3" t="s">
        <v>7</v>
      </c>
      <c r="F207" s="2" t="b">
        <f t="shared" si="3"/>
        <v>0</v>
      </c>
      <c r="H207" s="18"/>
    </row>
    <row r="208" spans="1:8" ht="30.75" customHeight="1" x14ac:dyDescent="0.2">
      <c r="A208" s="3">
        <v>41</v>
      </c>
      <c r="B208" s="18" t="s">
        <v>645</v>
      </c>
      <c r="C208" s="18"/>
      <c r="D208" s="18"/>
      <c r="E208" s="18"/>
      <c r="F208" s="18"/>
    </row>
    <row r="209" spans="1:8" ht="15" customHeight="1" x14ac:dyDescent="0.2">
      <c r="A209" s="3">
        <v>41</v>
      </c>
      <c r="B209" s="3" t="s">
        <v>0</v>
      </c>
      <c r="C209" s="8" t="s">
        <v>497</v>
      </c>
      <c r="D209" s="3" t="s">
        <v>8</v>
      </c>
      <c r="F209" s="2" t="b">
        <f t="shared" si="3"/>
        <v>0</v>
      </c>
      <c r="H209" s="18" t="s">
        <v>646</v>
      </c>
    </row>
    <row r="210" spans="1:8" ht="15" customHeight="1" x14ac:dyDescent="0.2">
      <c r="A210" s="3">
        <v>41</v>
      </c>
      <c r="B210" s="3" t="s">
        <v>1</v>
      </c>
      <c r="C210" s="8" t="s">
        <v>647</v>
      </c>
      <c r="D210" s="3" t="s">
        <v>7</v>
      </c>
      <c r="F210" s="2" t="b">
        <f t="shared" si="3"/>
        <v>0</v>
      </c>
      <c r="H210" s="18"/>
    </row>
    <row r="211" spans="1:8" ht="15" customHeight="1" x14ac:dyDescent="0.2">
      <c r="A211" s="3">
        <v>41</v>
      </c>
      <c r="B211" s="3" t="s">
        <v>2</v>
      </c>
      <c r="C211" s="8" t="s">
        <v>648</v>
      </c>
      <c r="D211" s="3" t="s">
        <v>7</v>
      </c>
      <c r="F211" s="2" t="b">
        <f t="shared" si="3"/>
        <v>0</v>
      </c>
      <c r="H211" s="18"/>
    </row>
    <row r="212" spans="1:8" ht="15" customHeight="1" x14ac:dyDescent="0.2">
      <c r="A212" s="3">
        <v>41</v>
      </c>
      <c r="B212" s="3" t="s">
        <v>3</v>
      </c>
      <c r="C212" s="8" t="s">
        <v>42</v>
      </c>
      <c r="D212" s="3" t="s">
        <v>7</v>
      </c>
      <c r="F212" s="2" t="b">
        <f t="shared" si="3"/>
        <v>0</v>
      </c>
      <c r="H212" s="18"/>
    </row>
    <row r="213" spans="1:8" ht="15" customHeight="1" x14ac:dyDescent="0.2">
      <c r="A213" s="3">
        <v>42</v>
      </c>
      <c r="B213" s="19" t="s">
        <v>649</v>
      </c>
      <c r="C213" s="19"/>
      <c r="D213" s="19"/>
      <c r="E213" s="19"/>
      <c r="F213" s="19"/>
    </row>
    <row r="214" spans="1:8" ht="15" customHeight="1" x14ac:dyDescent="0.2">
      <c r="A214" s="3">
        <v>42</v>
      </c>
      <c r="B214" s="3" t="s">
        <v>0</v>
      </c>
      <c r="C214" s="8" t="s">
        <v>651</v>
      </c>
      <c r="D214" s="3" t="s">
        <v>8</v>
      </c>
      <c r="F214" s="2" t="b">
        <f t="shared" si="3"/>
        <v>0</v>
      </c>
      <c r="H214" s="18" t="s">
        <v>650</v>
      </c>
    </row>
    <row r="215" spans="1:8" ht="15" customHeight="1" x14ac:dyDescent="0.2">
      <c r="A215" s="3">
        <v>42</v>
      </c>
      <c r="B215" s="3" t="s">
        <v>1</v>
      </c>
      <c r="C215" s="8" t="s">
        <v>652</v>
      </c>
      <c r="D215" s="3" t="s">
        <v>8</v>
      </c>
      <c r="F215" s="2" t="b">
        <f t="shared" si="3"/>
        <v>0</v>
      </c>
      <c r="H215" s="18"/>
    </row>
    <row r="216" spans="1:8" ht="15" customHeight="1" x14ac:dyDescent="0.2">
      <c r="A216" s="3">
        <v>42</v>
      </c>
      <c r="B216" s="3" t="s">
        <v>2</v>
      </c>
      <c r="C216" s="8" t="s">
        <v>653</v>
      </c>
      <c r="D216" s="3" t="s">
        <v>7</v>
      </c>
      <c r="F216" s="2" t="b">
        <f t="shared" si="3"/>
        <v>0</v>
      </c>
      <c r="H216" s="18"/>
    </row>
    <row r="217" spans="1:8" ht="15" customHeight="1" x14ac:dyDescent="0.2">
      <c r="A217" s="3">
        <v>42</v>
      </c>
      <c r="B217" s="3" t="s">
        <v>3</v>
      </c>
      <c r="C217" s="8" t="s">
        <v>654</v>
      </c>
      <c r="D217" s="3" t="s">
        <v>7</v>
      </c>
      <c r="F217" s="2" t="b">
        <f t="shared" si="3"/>
        <v>0</v>
      </c>
      <c r="H217" s="18"/>
    </row>
    <row r="218" spans="1:8" ht="15" customHeight="1" x14ac:dyDescent="0.2">
      <c r="A218" s="3">
        <v>42</v>
      </c>
      <c r="B218" s="3" t="s">
        <v>6</v>
      </c>
      <c r="C218" s="8" t="s">
        <v>655</v>
      </c>
      <c r="D218" s="3" t="s">
        <v>7</v>
      </c>
      <c r="F218" s="2" t="b">
        <f t="shared" si="3"/>
        <v>0</v>
      </c>
      <c r="H218" s="18"/>
    </row>
    <row r="219" spans="1:8" ht="31.5" customHeight="1" x14ac:dyDescent="0.2">
      <c r="A219" s="3">
        <v>43</v>
      </c>
      <c r="B219" s="18" t="s">
        <v>656</v>
      </c>
      <c r="C219" s="18"/>
      <c r="D219" s="18"/>
      <c r="E219" s="18"/>
      <c r="F219" s="18"/>
    </row>
    <row r="220" spans="1:8" ht="15" customHeight="1" x14ac:dyDescent="0.2">
      <c r="A220" s="3">
        <v>43</v>
      </c>
      <c r="B220" s="3" t="s">
        <v>0</v>
      </c>
      <c r="C220" s="8" t="s">
        <v>658</v>
      </c>
      <c r="D220" s="3" t="s">
        <v>8</v>
      </c>
      <c r="F220" s="2" t="b">
        <f t="shared" si="3"/>
        <v>0</v>
      </c>
      <c r="H220" s="18" t="s">
        <v>657</v>
      </c>
    </row>
    <row r="221" spans="1:8" ht="15" customHeight="1" x14ac:dyDescent="0.2">
      <c r="A221" s="3">
        <v>43</v>
      </c>
      <c r="B221" s="3" t="s">
        <v>1</v>
      </c>
      <c r="C221" s="8" t="s">
        <v>659</v>
      </c>
      <c r="D221" s="3" t="s">
        <v>7</v>
      </c>
      <c r="F221" s="2" t="b">
        <f t="shared" si="3"/>
        <v>0</v>
      </c>
      <c r="H221" s="18"/>
    </row>
    <row r="222" spans="1:8" ht="15" customHeight="1" x14ac:dyDescent="0.2">
      <c r="A222" s="3">
        <v>43</v>
      </c>
      <c r="B222" s="3" t="s">
        <v>2</v>
      </c>
      <c r="C222" s="8" t="s">
        <v>660</v>
      </c>
      <c r="D222" s="3" t="s">
        <v>7</v>
      </c>
      <c r="F222" s="2" t="b">
        <f t="shared" si="3"/>
        <v>0</v>
      </c>
      <c r="H222" s="18"/>
    </row>
    <row r="223" spans="1:8" ht="15" customHeight="1" x14ac:dyDescent="0.2">
      <c r="A223" s="3">
        <v>43</v>
      </c>
      <c r="B223" s="3" t="s">
        <v>3</v>
      </c>
      <c r="C223" s="8" t="s">
        <v>661</v>
      </c>
      <c r="D223" s="3" t="s">
        <v>7</v>
      </c>
      <c r="F223" s="2" t="b">
        <f t="shared" si="3"/>
        <v>0</v>
      </c>
      <c r="H223" s="18"/>
    </row>
    <row r="224" spans="1:8" ht="15" customHeight="1" x14ac:dyDescent="0.2">
      <c r="A224" s="3">
        <v>44</v>
      </c>
      <c r="B224" s="19" t="s">
        <v>662</v>
      </c>
      <c r="C224" s="19"/>
      <c r="D224" s="19"/>
      <c r="E224" s="19"/>
      <c r="F224" s="19"/>
    </row>
    <row r="225" spans="1:8" ht="15" customHeight="1" x14ac:dyDescent="0.2">
      <c r="A225" s="3">
        <v>44</v>
      </c>
      <c r="B225" s="3" t="s">
        <v>0</v>
      </c>
      <c r="C225" s="8" t="s">
        <v>531</v>
      </c>
      <c r="D225" s="3" t="s">
        <v>8</v>
      </c>
      <c r="F225" s="2" t="b">
        <f t="shared" si="3"/>
        <v>0</v>
      </c>
      <c r="H225" s="18" t="s">
        <v>663</v>
      </c>
    </row>
    <row r="226" spans="1:8" ht="15" customHeight="1" x14ac:dyDescent="0.2">
      <c r="A226" s="3">
        <v>44</v>
      </c>
      <c r="B226" s="3" t="s">
        <v>1</v>
      </c>
      <c r="C226" s="8" t="s">
        <v>530</v>
      </c>
      <c r="D226" s="3" t="s">
        <v>7</v>
      </c>
      <c r="F226" s="2" t="b">
        <f t="shared" si="3"/>
        <v>0</v>
      </c>
      <c r="H226" s="18"/>
    </row>
    <row r="227" spans="1:8" ht="15" customHeight="1" x14ac:dyDescent="0.2">
      <c r="A227" s="3">
        <v>45</v>
      </c>
      <c r="B227" s="19" t="s">
        <v>664</v>
      </c>
      <c r="C227" s="19"/>
      <c r="D227" s="19"/>
      <c r="E227" s="19"/>
      <c r="F227" s="19"/>
    </row>
    <row r="228" spans="1:8" ht="15" customHeight="1" x14ac:dyDescent="0.2">
      <c r="A228" s="3">
        <v>45</v>
      </c>
      <c r="B228" s="3" t="s">
        <v>0</v>
      </c>
      <c r="C228" s="8" t="s">
        <v>666</v>
      </c>
      <c r="D228" s="3" t="s">
        <v>7</v>
      </c>
      <c r="F228" s="2" t="b">
        <f t="shared" si="3"/>
        <v>0</v>
      </c>
      <c r="H228" s="18" t="s">
        <v>665</v>
      </c>
    </row>
    <row r="229" spans="1:8" ht="15" customHeight="1" x14ac:dyDescent="0.2">
      <c r="A229" s="3">
        <v>45</v>
      </c>
      <c r="B229" s="3" t="s">
        <v>1</v>
      </c>
      <c r="C229" s="8" t="s">
        <v>667</v>
      </c>
      <c r="D229" s="3" t="s">
        <v>7</v>
      </c>
      <c r="F229" s="2" t="b">
        <f t="shared" si="3"/>
        <v>0</v>
      </c>
      <c r="H229" s="18"/>
    </row>
    <row r="230" spans="1:8" ht="15" customHeight="1" x14ac:dyDescent="0.2">
      <c r="A230" s="3">
        <v>45</v>
      </c>
      <c r="B230" s="3" t="s">
        <v>2</v>
      </c>
      <c r="C230" s="8" t="s">
        <v>668</v>
      </c>
      <c r="D230" s="3" t="s">
        <v>8</v>
      </c>
      <c r="F230" s="2" t="b">
        <f t="shared" si="3"/>
        <v>0</v>
      </c>
      <c r="H230" s="18"/>
    </row>
    <row r="231" spans="1:8" ht="15" customHeight="1" x14ac:dyDescent="0.2">
      <c r="A231" s="3">
        <v>45</v>
      </c>
      <c r="B231" s="3" t="s">
        <v>3</v>
      </c>
      <c r="C231" s="8" t="s">
        <v>669</v>
      </c>
      <c r="D231" s="3" t="s">
        <v>7</v>
      </c>
      <c r="F231" s="2" t="b">
        <f t="shared" si="3"/>
        <v>0</v>
      </c>
      <c r="H231" s="18"/>
    </row>
    <row r="232" spans="1:8" ht="32.25" customHeight="1" x14ac:dyDescent="0.2">
      <c r="A232" s="3">
        <v>46</v>
      </c>
      <c r="B232" s="18" t="s">
        <v>670</v>
      </c>
      <c r="C232" s="18"/>
      <c r="D232" s="18"/>
      <c r="E232" s="18"/>
      <c r="F232" s="18"/>
    </row>
    <row r="233" spans="1:8" ht="15" customHeight="1" x14ac:dyDescent="0.2">
      <c r="A233" s="3">
        <v>46</v>
      </c>
      <c r="B233" s="3" t="s">
        <v>0</v>
      </c>
      <c r="C233" s="8" t="s">
        <v>407</v>
      </c>
      <c r="D233" s="3" t="s">
        <v>8</v>
      </c>
      <c r="F233" s="2" t="b">
        <f t="shared" si="3"/>
        <v>0</v>
      </c>
      <c r="H233" s="18" t="s">
        <v>671</v>
      </c>
    </row>
    <row r="234" spans="1:8" ht="15" customHeight="1" x14ac:dyDescent="0.2">
      <c r="A234" s="3">
        <v>46</v>
      </c>
      <c r="B234" s="3" t="s">
        <v>1</v>
      </c>
      <c r="C234" s="8" t="s">
        <v>672</v>
      </c>
      <c r="D234" s="3" t="s">
        <v>7</v>
      </c>
      <c r="F234" s="2" t="b">
        <f t="shared" si="3"/>
        <v>0</v>
      </c>
      <c r="H234" s="18"/>
    </row>
    <row r="235" spans="1:8" ht="15" customHeight="1" x14ac:dyDescent="0.2">
      <c r="A235" s="3">
        <v>46</v>
      </c>
      <c r="B235" s="3" t="s">
        <v>2</v>
      </c>
      <c r="C235" s="8" t="s">
        <v>673</v>
      </c>
      <c r="D235" s="3" t="s">
        <v>7</v>
      </c>
      <c r="F235" s="2" t="b">
        <f t="shared" si="3"/>
        <v>0</v>
      </c>
      <c r="H235" s="18"/>
    </row>
    <row r="236" spans="1:8" ht="15" customHeight="1" x14ac:dyDescent="0.2">
      <c r="A236" s="3">
        <v>46</v>
      </c>
      <c r="B236" s="3" t="s">
        <v>3</v>
      </c>
      <c r="C236" s="8" t="s">
        <v>674</v>
      </c>
      <c r="D236" s="3" t="s">
        <v>7</v>
      </c>
      <c r="F236" s="2" t="b">
        <f t="shared" si="3"/>
        <v>0</v>
      </c>
      <c r="H236" s="18"/>
    </row>
    <row r="237" spans="1:8" ht="30.75" customHeight="1" x14ac:dyDescent="0.2">
      <c r="A237" s="3">
        <v>47</v>
      </c>
      <c r="B237" s="18" t="s">
        <v>675</v>
      </c>
      <c r="C237" s="18"/>
      <c r="D237" s="18"/>
      <c r="E237" s="18"/>
      <c r="F237" s="18"/>
    </row>
    <row r="238" spans="1:8" ht="15" customHeight="1" x14ac:dyDescent="0.2">
      <c r="A238" s="3">
        <v>47</v>
      </c>
      <c r="B238" s="3" t="s">
        <v>0</v>
      </c>
      <c r="C238" s="8" t="s">
        <v>677</v>
      </c>
      <c r="D238" s="3" t="s">
        <v>7</v>
      </c>
      <c r="F238" s="2" t="b">
        <f t="shared" si="3"/>
        <v>0</v>
      </c>
      <c r="H238" s="18" t="s">
        <v>676</v>
      </c>
    </row>
    <row r="239" spans="1:8" ht="15" customHeight="1" x14ac:dyDescent="0.2">
      <c r="A239" s="3">
        <v>47</v>
      </c>
      <c r="B239" s="3" t="s">
        <v>1</v>
      </c>
      <c r="C239" s="8" t="s">
        <v>678</v>
      </c>
      <c r="D239" s="3" t="s">
        <v>7</v>
      </c>
      <c r="F239" s="2" t="b">
        <f t="shared" si="3"/>
        <v>0</v>
      </c>
      <c r="H239" s="18"/>
    </row>
    <row r="240" spans="1:8" ht="15" customHeight="1" x14ac:dyDescent="0.2">
      <c r="A240" s="3">
        <v>47</v>
      </c>
      <c r="B240" s="3" t="s">
        <v>2</v>
      </c>
      <c r="C240" s="8" t="s">
        <v>679</v>
      </c>
      <c r="D240" s="3" t="s">
        <v>7</v>
      </c>
      <c r="F240" s="2" t="b">
        <f t="shared" si="3"/>
        <v>0</v>
      </c>
      <c r="H240" s="18"/>
    </row>
    <row r="241" spans="1:8" ht="15" customHeight="1" x14ac:dyDescent="0.2">
      <c r="A241" s="3">
        <v>47</v>
      </c>
      <c r="B241" s="3" t="s">
        <v>3</v>
      </c>
      <c r="C241" s="8" t="s">
        <v>680</v>
      </c>
      <c r="D241" s="3" t="s">
        <v>8</v>
      </c>
      <c r="F241" s="2" t="b">
        <f t="shared" si="3"/>
        <v>0</v>
      </c>
      <c r="H241" s="18"/>
    </row>
    <row r="242" spans="1:8" ht="15" customHeight="1" x14ac:dyDescent="0.2">
      <c r="A242" s="3">
        <v>48</v>
      </c>
      <c r="B242" s="19" t="s">
        <v>681</v>
      </c>
      <c r="C242" s="19"/>
      <c r="D242" s="19"/>
      <c r="E242" s="19"/>
      <c r="F242" s="19"/>
    </row>
    <row r="243" spans="1:8" ht="15" customHeight="1" x14ac:dyDescent="0.2">
      <c r="A243" s="3">
        <v>48</v>
      </c>
      <c r="B243" s="3" t="s">
        <v>0</v>
      </c>
      <c r="C243" s="8" t="s">
        <v>683</v>
      </c>
      <c r="D243" s="3" t="s">
        <v>7</v>
      </c>
      <c r="F243" s="2" t="b">
        <f t="shared" si="3"/>
        <v>0</v>
      </c>
      <c r="H243" s="18" t="s">
        <v>682</v>
      </c>
    </row>
    <row r="244" spans="1:8" ht="15" customHeight="1" x14ac:dyDescent="0.2">
      <c r="A244" s="3">
        <v>48</v>
      </c>
      <c r="B244" s="3" t="s">
        <v>1</v>
      </c>
      <c r="C244" s="8" t="s">
        <v>684</v>
      </c>
      <c r="D244" s="3" t="s">
        <v>8</v>
      </c>
      <c r="F244" s="2" t="b">
        <f t="shared" si="3"/>
        <v>0</v>
      </c>
      <c r="H244" s="18"/>
    </row>
    <row r="245" spans="1:8" ht="15" customHeight="1" x14ac:dyDescent="0.2">
      <c r="A245" s="3">
        <v>48</v>
      </c>
      <c r="B245" s="3" t="s">
        <v>2</v>
      </c>
      <c r="C245" s="8" t="s">
        <v>685</v>
      </c>
      <c r="D245" s="3" t="s">
        <v>7</v>
      </c>
      <c r="F245" s="2" t="b">
        <f t="shared" si="3"/>
        <v>0</v>
      </c>
      <c r="H245" s="18"/>
    </row>
    <row r="246" spans="1:8" ht="15" customHeight="1" x14ac:dyDescent="0.2">
      <c r="A246" s="3">
        <v>48</v>
      </c>
      <c r="B246" s="3" t="s">
        <v>3</v>
      </c>
      <c r="C246" s="8" t="s">
        <v>686</v>
      </c>
      <c r="D246" s="3" t="s">
        <v>7</v>
      </c>
      <c r="F246" s="2" t="b">
        <f t="shared" si="3"/>
        <v>0</v>
      </c>
      <c r="H246" s="18"/>
    </row>
    <row r="247" spans="1:8" ht="33.75" customHeight="1" x14ac:dyDescent="0.2">
      <c r="A247" s="3">
        <v>49</v>
      </c>
      <c r="B247" s="18" t="s">
        <v>687</v>
      </c>
      <c r="C247" s="18"/>
      <c r="D247" s="18"/>
      <c r="E247" s="18"/>
      <c r="F247" s="18"/>
    </row>
    <row r="248" spans="1:8" ht="15" customHeight="1" x14ac:dyDescent="0.2">
      <c r="A248" s="3">
        <v>49</v>
      </c>
      <c r="B248" s="3" t="s">
        <v>0</v>
      </c>
      <c r="C248" s="8" t="s">
        <v>689</v>
      </c>
      <c r="D248" s="3" t="s">
        <v>7</v>
      </c>
      <c r="F248" s="2" t="b">
        <f t="shared" si="3"/>
        <v>0</v>
      </c>
      <c r="H248" s="18" t="s">
        <v>688</v>
      </c>
    </row>
    <row r="249" spans="1:8" ht="15" customHeight="1" x14ac:dyDescent="0.2">
      <c r="A249" s="3">
        <v>49</v>
      </c>
      <c r="B249" s="3" t="s">
        <v>1</v>
      </c>
      <c r="C249" s="8" t="s">
        <v>690</v>
      </c>
      <c r="D249" s="3" t="s">
        <v>7</v>
      </c>
      <c r="F249" s="2" t="b">
        <f t="shared" si="3"/>
        <v>0</v>
      </c>
      <c r="H249" s="18"/>
    </row>
    <row r="250" spans="1:8" ht="15" customHeight="1" x14ac:dyDescent="0.2">
      <c r="A250" s="3">
        <v>49</v>
      </c>
      <c r="B250" s="3" t="s">
        <v>2</v>
      </c>
      <c r="C250" s="8" t="s">
        <v>691</v>
      </c>
      <c r="D250" s="3" t="s">
        <v>7</v>
      </c>
      <c r="F250" s="2" t="b">
        <f t="shared" si="3"/>
        <v>0</v>
      </c>
      <c r="H250" s="18"/>
    </row>
    <row r="251" spans="1:8" ht="15" customHeight="1" x14ac:dyDescent="0.2">
      <c r="A251" s="3">
        <v>49</v>
      </c>
      <c r="B251" s="3" t="s">
        <v>3</v>
      </c>
      <c r="C251" s="8" t="s">
        <v>692</v>
      </c>
      <c r="D251" s="3" t="s">
        <v>8</v>
      </c>
      <c r="F251" s="2" t="b">
        <f t="shared" si="3"/>
        <v>0</v>
      </c>
      <c r="H251" s="18"/>
    </row>
    <row r="252" spans="1:8" ht="15" customHeight="1" x14ac:dyDescent="0.2">
      <c r="A252" s="3">
        <v>50</v>
      </c>
      <c r="B252" s="19" t="s">
        <v>693</v>
      </c>
      <c r="C252" s="19"/>
      <c r="D252" s="19"/>
      <c r="E252" s="19"/>
      <c r="F252" s="19"/>
    </row>
    <row r="253" spans="1:8" ht="15" customHeight="1" x14ac:dyDescent="0.2">
      <c r="A253" s="3">
        <v>50</v>
      </c>
      <c r="B253" s="3" t="s">
        <v>0</v>
      </c>
      <c r="C253" s="8" t="s">
        <v>695</v>
      </c>
      <c r="D253" s="3" t="s">
        <v>8</v>
      </c>
      <c r="F253" s="2" t="b">
        <f t="shared" si="3"/>
        <v>0</v>
      </c>
      <c r="H253" s="18" t="s">
        <v>694</v>
      </c>
    </row>
    <row r="254" spans="1:8" ht="15" customHeight="1" x14ac:dyDescent="0.2">
      <c r="A254" s="3">
        <v>50</v>
      </c>
      <c r="B254" s="3" t="s">
        <v>1</v>
      </c>
      <c r="C254" s="8" t="s">
        <v>696</v>
      </c>
      <c r="D254" s="3" t="s">
        <v>7</v>
      </c>
      <c r="F254" s="2" t="b">
        <f t="shared" si="3"/>
        <v>0</v>
      </c>
      <c r="H254" s="18"/>
    </row>
    <row r="255" spans="1:8" ht="15" customHeight="1" x14ac:dyDescent="0.2">
      <c r="A255" s="3">
        <v>50</v>
      </c>
      <c r="B255" s="3" t="s">
        <v>2</v>
      </c>
      <c r="C255" s="8" t="s">
        <v>510</v>
      </c>
      <c r="D255" s="3" t="s">
        <v>7</v>
      </c>
      <c r="F255" s="2" t="b">
        <f t="shared" si="3"/>
        <v>0</v>
      </c>
      <c r="H255" s="18"/>
    </row>
    <row r="256" spans="1:8" ht="15" customHeight="1" x14ac:dyDescent="0.2">
      <c r="A256" s="3">
        <v>50</v>
      </c>
      <c r="B256" s="3" t="s">
        <v>3</v>
      </c>
      <c r="C256" s="8" t="s">
        <v>493</v>
      </c>
      <c r="D256" s="3" t="s">
        <v>7</v>
      </c>
      <c r="F256" s="2" t="b">
        <f t="shared" si="3"/>
        <v>0</v>
      </c>
      <c r="H256" s="18"/>
    </row>
    <row r="257" spans="1:8" ht="15" customHeight="1" x14ac:dyDescent="0.2">
      <c r="A257" s="3">
        <v>51</v>
      </c>
      <c r="B257" s="19" t="s">
        <v>697</v>
      </c>
      <c r="C257" s="19"/>
      <c r="D257" s="19"/>
      <c r="E257" s="19"/>
      <c r="F257" s="19"/>
    </row>
    <row r="258" spans="1:8" ht="15" customHeight="1" x14ac:dyDescent="0.2">
      <c r="A258" s="3">
        <v>51</v>
      </c>
      <c r="B258" s="3" t="s">
        <v>0</v>
      </c>
      <c r="C258" s="8" t="s">
        <v>699</v>
      </c>
      <c r="D258" s="3" t="s">
        <v>7</v>
      </c>
      <c r="F258" s="2" t="b">
        <f t="shared" si="3"/>
        <v>0</v>
      </c>
      <c r="H258" s="18" t="s">
        <v>698</v>
      </c>
    </row>
    <row r="259" spans="1:8" ht="15" customHeight="1" x14ac:dyDescent="0.2">
      <c r="A259" s="3">
        <v>51</v>
      </c>
      <c r="B259" s="3" t="s">
        <v>1</v>
      </c>
      <c r="C259" s="8" t="s">
        <v>700</v>
      </c>
      <c r="D259" s="3" t="s">
        <v>7</v>
      </c>
      <c r="F259" s="2" t="b">
        <f t="shared" si="3"/>
        <v>0</v>
      </c>
      <c r="H259" s="18"/>
    </row>
    <row r="260" spans="1:8" ht="15" customHeight="1" x14ac:dyDescent="0.2">
      <c r="A260" s="3">
        <v>51</v>
      </c>
      <c r="B260" s="3" t="s">
        <v>2</v>
      </c>
      <c r="C260" s="8" t="s">
        <v>701</v>
      </c>
      <c r="D260" s="3" t="s">
        <v>8</v>
      </c>
      <c r="F260" s="2" t="b">
        <f t="shared" ref="F260:F323" si="4">D260=E260</f>
        <v>0</v>
      </c>
      <c r="H260" s="18"/>
    </row>
    <row r="261" spans="1:8" ht="15" customHeight="1" x14ac:dyDescent="0.2">
      <c r="A261" s="3">
        <v>51</v>
      </c>
      <c r="B261" s="3" t="s">
        <v>3</v>
      </c>
      <c r="C261" s="8" t="s">
        <v>416</v>
      </c>
      <c r="D261" s="3" t="s">
        <v>8</v>
      </c>
      <c r="F261" s="2" t="b">
        <f t="shared" si="4"/>
        <v>0</v>
      </c>
      <c r="H261" s="18"/>
    </row>
    <row r="262" spans="1:8" ht="15" customHeight="1" x14ac:dyDescent="0.2">
      <c r="A262" s="3">
        <v>51</v>
      </c>
      <c r="B262" s="3" t="s">
        <v>6</v>
      </c>
      <c r="C262" s="8" t="s">
        <v>702</v>
      </c>
      <c r="D262" s="3" t="s">
        <v>8</v>
      </c>
      <c r="F262" s="2" t="b">
        <f t="shared" si="4"/>
        <v>0</v>
      </c>
      <c r="H262" s="18"/>
    </row>
    <row r="263" spans="1:8" ht="15" customHeight="1" x14ac:dyDescent="0.2">
      <c r="A263" s="3">
        <v>52</v>
      </c>
      <c r="B263" s="19" t="s">
        <v>703</v>
      </c>
      <c r="C263" s="19"/>
      <c r="D263" s="19"/>
      <c r="E263" s="19"/>
      <c r="F263" s="19"/>
    </row>
    <row r="264" spans="1:8" ht="15" customHeight="1" x14ac:dyDescent="0.2">
      <c r="A264" s="3">
        <v>52</v>
      </c>
      <c r="B264" s="3" t="s">
        <v>0</v>
      </c>
      <c r="C264" s="8" t="s">
        <v>705</v>
      </c>
      <c r="D264" s="3" t="s">
        <v>7</v>
      </c>
      <c r="F264" s="2" t="b">
        <f t="shared" si="4"/>
        <v>0</v>
      </c>
      <c r="H264" s="18" t="s">
        <v>704</v>
      </c>
    </row>
    <row r="265" spans="1:8" ht="15" customHeight="1" x14ac:dyDescent="0.2">
      <c r="A265" s="3">
        <v>52</v>
      </c>
      <c r="B265" s="3" t="s">
        <v>1</v>
      </c>
      <c r="C265" s="8" t="s">
        <v>706</v>
      </c>
      <c r="D265" s="3" t="s">
        <v>8</v>
      </c>
      <c r="F265" s="2" t="b">
        <f t="shared" si="4"/>
        <v>0</v>
      </c>
      <c r="H265" s="18"/>
    </row>
    <row r="266" spans="1:8" ht="15" customHeight="1" x14ac:dyDescent="0.2">
      <c r="A266" s="3">
        <v>52</v>
      </c>
      <c r="B266" s="3" t="s">
        <v>2</v>
      </c>
      <c r="C266" s="8" t="s">
        <v>707</v>
      </c>
      <c r="D266" s="3" t="s">
        <v>7</v>
      </c>
      <c r="F266" s="2" t="b">
        <f t="shared" si="4"/>
        <v>0</v>
      </c>
      <c r="H266" s="18"/>
    </row>
    <row r="267" spans="1:8" ht="15" customHeight="1" x14ac:dyDescent="0.2">
      <c r="A267" s="3">
        <v>52</v>
      </c>
      <c r="B267" s="3" t="s">
        <v>3</v>
      </c>
      <c r="C267" s="8" t="s">
        <v>708</v>
      </c>
      <c r="D267" s="3" t="s">
        <v>7</v>
      </c>
      <c r="F267" s="2" t="b">
        <f t="shared" si="4"/>
        <v>0</v>
      </c>
      <c r="H267" s="18"/>
    </row>
    <row r="268" spans="1:8" ht="15" customHeight="1" x14ac:dyDescent="0.2">
      <c r="A268" s="3">
        <v>53</v>
      </c>
      <c r="B268" s="19" t="s">
        <v>709</v>
      </c>
      <c r="C268" s="19"/>
      <c r="D268" s="19"/>
      <c r="E268" s="19"/>
      <c r="F268" s="19"/>
    </row>
    <row r="269" spans="1:8" ht="15" customHeight="1" x14ac:dyDescent="0.2">
      <c r="A269" s="3">
        <v>53</v>
      </c>
      <c r="B269" s="3" t="s">
        <v>0</v>
      </c>
      <c r="C269" s="8" t="s">
        <v>711</v>
      </c>
      <c r="D269" s="3" t="s">
        <v>7</v>
      </c>
      <c r="F269" s="2" t="b">
        <f t="shared" si="4"/>
        <v>0</v>
      </c>
      <c r="H269" s="18" t="s">
        <v>710</v>
      </c>
    </row>
    <row r="270" spans="1:8" ht="15" customHeight="1" x14ac:dyDescent="0.2">
      <c r="A270" s="3">
        <v>53</v>
      </c>
      <c r="B270" s="3" t="s">
        <v>1</v>
      </c>
      <c r="C270" s="8" t="s">
        <v>651</v>
      </c>
      <c r="D270" s="3" t="s">
        <v>8</v>
      </c>
      <c r="F270" s="2" t="b">
        <f t="shared" si="4"/>
        <v>0</v>
      </c>
      <c r="H270" s="18"/>
    </row>
    <row r="271" spans="1:8" ht="15" customHeight="1" x14ac:dyDescent="0.2">
      <c r="A271" s="3">
        <v>53</v>
      </c>
      <c r="B271" s="3" t="s">
        <v>2</v>
      </c>
      <c r="C271" s="8" t="s">
        <v>654</v>
      </c>
      <c r="D271" s="3" t="s">
        <v>7</v>
      </c>
      <c r="F271" s="2" t="b">
        <f t="shared" si="4"/>
        <v>0</v>
      </c>
      <c r="H271" s="18"/>
    </row>
    <row r="272" spans="1:8" ht="15" customHeight="1" x14ac:dyDescent="0.2">
      <c r="A272" s="3">
        <v>53</v>
      </c>
      <c r="B272" s="3" t="s">
        <v>3</v>
      </c>
      <c r="C272" s="8" t="s">
        <v>653</v>
      </c>
      <c r="D272" s="3" t="s">
        <v>7</v>
      </c>
      <c r="F272" s="2" t="b">
        <f t="shared" si="4"/>
        <v>0</v>
      </c>
      <c r="H272" s="18"/>
    </row>
    <row r="273" spans="1:8" ht="48" customHeight="1" x14ac:dyDescent="0.2">
      <c r="A273" s="3">
        <v>54</v>
      </c>
      <c r="B273" s="18" t="s">
        <v>712</v>
      </c>
      <c r="C273" s="18"/>
      <c r="D273" s="18"/>
      <c r="E273" s="18"/>
      <c r="F273" s="18"/>
    </row>
    <row r="274" spans="1:8" ht="15" customHeight="1" x14ac:dyDescent="0.2">
      <c r="A274" s="3">
        <v>54</v>
      </c>
      <c r="B274" s="3" t="s">
        <v>0</v>
      </c>
      <c r="C274" s="8" t="s">
        <v>714</v>
      </c>
      <c r="D274" s="3" t="s">
        <v>7</v>
      </c>
      <c r="F274" s="2" t="b">
        <f t="shared" si="4"/>
        <v>0</v>
      </c>
      <c r="H274" s="18" t="s">
        <v>713</v>
      </c>
    </row>
    <row r="275" spans="1:8" ht="15" customHeight="1" x14ac:dyDescent="0.2">
      <c r="A275" s="3">
        <v>54</v>
      </c>
      <c r="B275" s="3" t="s">
        <v>1</v>
      </c>
      <c r="C275" s="8" t="s">
        <v>715</v>
      </c>
      <c r="D275" s="3" t="s">
        <v>7</v>
      </c>
      <c r="F275" s="2" t="b">
        <f t="shared" si="4"/>
        <v>0</v>
      </c>
      <c r="H275" s="18"/>
    </row>
    <row r="276" spans="1:8" ht="15" customHeight="1" x14ac:dyDescent="0.2">
      <c r="A276" s="3">
        <v>54</v>
      </c>
      <c r="B276" s="3" t="s">
        <v>2</v>
      </c>
      <c r="C276" s="8" t="s">
        <v>716</v>
      </c>
      <c r="D276" s="3" t="s">
        <v>8</v>
      </c>
      <c r="F276" s="2" t="b">
        <f t="shared" si="4"/>
        <v>0</v>
      </c>
      <c r="H276" s="18"/>
    </row>
    <row r="277" spans="1:8" ht="15" customHeight="1" x14ac:dyDescent="0.2">
      <c r="A277" s="3">
        <v>54</v>
      </c>
      <c r="B277" s="3" t="s">
        <v>3</v>
      </c>
      <c r="C277" s="8" t="s">
        <v>717</v>
      </c>
      <c r="D277" s="3" t="s">
        <v>7</v>
      </c>
      <c r="F277" s="2" t="b">
        <f t="shared" si="4"/>
        <v>0</v>
      </c>
      <c r="H277" s="18"/>
    </row>
    <row r="278" spans="1:8" ht="15" customHeight="1" x14ac:dyDescent="0.2">
      <c r="A278" s="3">
        <v>55</v>
      </c>
      <c r="B278" s="19" t="s">
        <v>718</v>
      </c>
      <c r="C278" s="19"/>
      <c r="D278" s="19"/>
      <c r="E278" s="19"/>
      <c r="F278" s="19"/>
    </row>
    <row r="279" spans="1:8" ht="15" customHeight="1" x14ac:dyDescent="0.2">
      <c r="A279" s="3">
        <v>55</v>
      </c>
      <c r="B279" s="3" t="s">
        <v>0</v>
      </c>
      <c r="C279" s="8" t="s">
        <v>720</v>
      </c>
      <c r="D279" s="3" t="s">
        <v>7</v>
      </c>
      <c r="F279" s="2" t="b">
        <f t="shared" si="4"/>
        <v>0</v>
      </c>
      <c r="H279" s="18" t="s">
        <v>719</v>
      </c>
    </row>
    <row r="280" spans="1:8" ht="15" customHeight="1" x14ac:dyDescent="0.2">
      <c r="A280" s="3">
        <v>55</v>
      </c>
      <c r="B280" s="3" t="s">
        <v>1</v>
      </c>
      <c r="C280" s="8" t="s">
        <v>170</v>
      </c>
      <c r="D280" s="3" t="s">
        <v>7</v>
      </c>
      <c r="F280" s="2" t="b">
        <f t="shared" si="4"/>
        <v>0</v>
      </c>
      <c r="H280" s="18"/>
    </row>
    <row r="281" spans="1:8" ht="15" customHeight="1" x14ac:dyDescent="0.2">
      <c r="A281" s="3">
        <v>55</v>
      </c>
      <c r="B281" s="3" t="s">
        <v>2</v>
      </c>
      <c r="C281" s="8" t="s">
        <v>172</v>
      </c>
      <c r="D281" s="3" t="s">
        <v>8</v>
      </c>
      <c r="F281" s="2" t="b">
        <f t="shared" si="4"/>
        <v>0</v>
      </c>
      <c r="H281" s="18"/>
    </row>
    <row r="282" spans="1:8" ht="15" customHeight="1" x14ac:dyDescent="0.2">
      <c r="A282" s="3">
        <v>55</v>
      </c>
      <c r="B282" s="3" t="s">
        <v>3</v>
      </c>
      <c r="C282" s="8" t="s">
        <v>721</v>
      </c>
      <c r="D282" s="3" t="s">
        <v>7</v>
      </c>
      <c r="F282" s="2" t="b">
        <f t="shared" si="4"/>
        <v>0</v>
      </c>
      <c r="H282" s="18"/>
    </row>
    <row r="283" spans="1:8" ht="34.5" customHeight="1" x14ac:dyDescent="0.2">
      <c r="A283" s="3">
        <v>56</v>
      </c>
      <c r="B283" s="18" t="s">
        <v>722</v>
      </c>
      <c r="C283" s="18"/>
      <c r="D283" s="18"/>
      <c r="E283" s="18"/>
      <c r="F283" s="18"/>
    </row>
    <row r="284" spans="1:8" ht="15" customHeight="1" x14ac:dyDescent="0.2">
      <c r="A284" s="3">
        <v>56</v>
      </c>
      <c r="B284" s="3" t="s">
        <v>0</v>
      </c>
      <c r="C284" s="8" t="s">
        <v>724</v>
      </c>
      <c r="D284" s="3" t="s">
        <v>7</v>
      </c>
      <c r="F284" s="2" t="b">
        <f t="shared" si="4"/>
        <v>0</v>
      </c>
      <c r="H284" s="19" t="s">
        <v>723</v>
      </c>
    </row>
    <row r="285" spans="1:8" ht="15" customHeight="1" x14ac:dyDescent="0.2">
      <c r="A285" s="3">
        <v>56</v>
      </c>
      <c r="B285" s="3" t="s">
        <v>1</v>
      </c>
      <c r="C285" s="8" t="s">
        <v>511</v>
      </c>
      <c r="D285" s="3" t="s">
        <v>7</v>
      </c>
      <c r="F285" s="2" t="b">
        <f t="shared" si="4"/>
        <v>0</v>
      </c>
      <c r="H285" s="19"/>
    </row>
    <row r="286" spans="1:8" ht="15" customHeight="1" x14ac:dyDescent="0.2">
      <c r="A286" s="3">
        <v>56</v>
      </c>
      <c r="B286" s="3" t="s">
        <v>2</v>
      </c>
      <c r="C286" s="8" t="s">
        <v>512</v>
      </c>
      <c r="D286" s="3" t="s">
        <v>8</v>
      </c>
      <c r="F286" s="2" t="b">
        <f t="shared" si="4"/>
        <v>0</v>
      </c>
      <c r="H286" s="19"/>
    </row>
    <row r="287" spans="1:8" ht="15" customHeight="1" x14ac:dyDescent="0.2">
      <c r="A287" s="3">
        <v>56</v>
      </c>
      <c r="B287" s="3" t="s">
        <v>3</v>
      </c>
      <c r="C287" s="8" t="s">
        <v>725</v>
      </c>
      <c r="D287" s="3" t="s">
        <v>7</v>
      </c>
      <c r="F287" s="2" t="b">
        <f t="shared" si="4"/>
        <v>0</v>
      </c>
      <c r="H287" s="19"/>
    </row>
    <row r="288" spans="1:8" ht="32.25" customHeight="1" x14ac:dyDescent="0.2">
      <c r="A288" s="3">
        <v>57</v>
      </c>
      <c r="B288" s="18" t="s">
        <v>726</v>
      </c>
      <c r="C288" s="18"/>
      <c r="D288" s="18"/>
      <c r="E288" s="18"/>
      <c r="F288" s="18"/>
    </row>
    <row r="289" spans="1:8" ht="15" customHeight="1" x14ac:dyDescent="0.2">
      <c r="A289" s="3">
        <v>57</v>
      </c>
      <c r="B289" s="3" t="s">
        <v>0</v>
      </c>
      <c r="C289" s="8" t="s">
        <v>728</v>
      </c>
      <c r="D289" s="3" t="s">
        <v>7</v>
      </c>
      <c r="F289" s="2" t="b">
        <f t="shared" si="4"/>
        <v>0</v>
      </c>
      <c r="H289" s="18" t="s">
        <v>727</v>
      </c>
    </row>
    <row r="290" spans="1:8" ht="15" customHeight="1" x14ac:dyDescent="0.2">
      <c r="A290" s="3">
        <v>57</v>
      </c>
      <c r="B290" s="3" t="s">
        <v>1</v>
      </c>
      <c r="C290" s="8" t="s">
        <v>560</v>
      </c>
      <c r="D290" s="3" t="s">
        <v>7</v>
      </c>
      <c r="F290" s="2" t="b">
        <f t="shared" si="4"/>
        <v>0</v>
      </c>
      <c r="H290" s="18"/>
    </row>
    <row r="291" spans="1:8" ht="15" customHeight="1" x14ac:dyDescent="0.2">
      <c r="A291" s="3">
        <v>57</v>
      </c>
      <c r="B291" s="3" t="s">
        <v>2</v>
      </c>
      <c r="C291" s="8" t="s">
        <v>729</v>
      </c>
      <c r="D291" s="3" t="s">
        <v>7</v>
      </c>
      <c r="F291" s="2" t="b">
        <f t="shared" si="4"/>
        <v>0</v>
      </c>
      <c r="H291" s="18"/>
    </row>
    <row r="292" spans="1:8" ht="15" customHeight="1" x14ac:dyDescent="0.2">
      <c r="A292" s="3">
        <v>57</v>
      </c>
      <c r="B292" s="3" t="s">
        <v>3</v>
      </c>
      <c r="C292" s="8" t="s">
        <v>730</v>
      </c>
      <c r="D292" s="3" t="s">
        <v>8</v>
      </c>
      <c r="F292" s="2" t="b">
        <f t="shared" si="4"/>
        <v>0</v>
      </c>
      <c r="H292" s="18"/>
    </row>
    <row r="293" spans="1:8" ht="15" customHeight="1" x14ac:dyDescent="0.2">
      <c r="A293" s="3">
        <v>58</v>
      </c>
      <c r="B293" s="19" t="s">
        <v>731</v>
      </c>
      <c r="C293" s="19"/>
      <c r="D293" s="19"/>
      <c r="E293" s="19"/>
      <c r="F293" s="19"/>
    </row>
    <row r="294" spans="1:8" ht="15" customHeight="1" x14ac:dyDescent="0.2">
      <c r="A294" s="3">
        <v>58</v>
      </c>
      <c r="B294" s="3" t="s">
        <v>0</v>
      </c>
      <c r="C294" s="8" t="s">
        <v>733</v>
      </c>
      <c r="D294" s="3" t="s">
        <v>7</v>
      </c>
      <c r="F294" s="2" t="b">
        <f t="shared" si="4"/>
        <v>0</v>
      </c>
      <c r="H294" s="18" t="s">
        <v>732</v>
      </c>
    </row>
    <row r="295" spans="1:8" ht="15" customHeight="1" x14ac:dyDescent="0.2">
      <c r="A295" s="3">
        <v>58</v>
      </c>
      <c r="B295" s="3" t="s">
        <v>1</v>
      </c>
      <c r="C295" s="8" t="s">
        <v>734</v>
      </c>
      <c r="D295" s="3" t="s">
        <v>7</v>
      </c>
      <c r="F295" s="2" t="b">
        <f t="shared" si="4"/>
        <v>0</v>
      </c>
      <c r="H295" s="18"/>
    </row>
    <row r="296" spans="1:8" ht="15" customHeight="1" x14ac:dyDescent="0.2">
      <c r="A296" s="3">
        <v>58</v>
      </c>
      <c r="B296" s="3" t="s">
        <v>2</v>
      </c>
      <c r="C296" s="8" t="s">
        <v>735</v>
      </c>
      <c r="D296" s="3" t="s">
        <v>7</v>
      </c>
      <c r="F296" s="2" t="b">
        <f t="shared" si="4"/>
        <v>0</v>
      </c>
      <c r="H296" s="18"/>
    </row>
    <row r="297" spans="1:8" ht="15" customHeight="1" x14ac:dyDescent="0.2">
      <c r="A297" s="3">
        <v>58</v>
      </c>
      <c r="B297" s="3" t="s">
        <v>3</v>
      </c>
      <c r="C297" s="8" t="s">
        <v>736</v>
      </c>
      <c r="D297" s="3" t="s">
        <v>8</v>
      </c>
      <c r="F297" s="2" t="b">
        <f t="shared" si="4"/>
        <v>0</v>
      </c>
      <c r="H297" s="18"/>
    </row>
    <row r="298" spans="1:8" ht="30.75" customHeight="1" x14ac:dyDescent="0.2">
      <c r="A298" s="3">
        <v>59</v>
      </c>
      <c r="B298" s="18" t="s">
        <v>737</v>
      </c>
      <c r="C298" s="18"/>
      <c r="D298" s="18"/>
      <c r="E298" s="18"/>
      <c r="F298" s="18"/>
    </row>
    <row r="299" spans="1:8" ht="15" customHeight="1" x14ac:dyDescent="0.2">
      <c r="A299" s="3">
        <v>59</v>
      </c>
      <c r="B299" s="3" t="s">
        <v>0</v>
      </c>
      <c r="C299" s="8" t="s">
        <v>739</v>
      </c>
      <c r="D299" s="3" t="s">
        <v>7</v>
      </c>
      <c r="F299" s="2" t="b">
        <f t="shared" si="4"/>
        <v>0</v>
      </c>
      <c r="H299" s="18" t="s">
        <v>738</v>
      </c>
    </row>
    <row r="300" spans="1:8" ht="15" customHeight="1" x14ac:dyDescent="0.2">
      <c r="A300" s="3">
        <v>59</v>
      </c>
      <c r="B300" s="3" t="s">
        <v>1</v>
      </c>
      <c r="C300" s="8" t="s">
        <v>740</v>
      </c>
      <c r="D300" s="3" t="s">
        <v>7</v>
      </c>
      <c r="F300" s="2" t="b">
        <f t="shared" si="4"/>
        <v>0</v>
      </c>
      <c r="H300" s="18"/>
    </row>
    <row r="301" spans="1:8" ht="15" customHeight="1" x14ac:dyDescent="0.2">
      <c r="A301" s="3">
        <v>59</v>
      </c>
      <c r="B301" s="3" t="s">
        <v>2</v>
      </c>
      <c r="C301" s="8" t="s">
        <v>136</v>
      </c>
      <c r="D301" s="3" t="s">
        <v>8</v>
      </c>
      <c r="F301" s="2" t="b">
        <f t="shared" si="4"/>
        <v>0</v>
      </c>
      <c r="H301" s="18"/>
    </row>
    <row r="302" spans="1:8" ht="15" customHeight="1" x14ac:dyDescent="0.2">
      <c r="A302" s="3">
        <v>59</v>
      </c>
      <c r="B302" s="3" t="s">
        <v>3</v>
      </c>
      <c r="C302" s="8" t="s">
        <v>741</v>
      </c>
      <c r="D302" s="3" t="s">
        <v>7</v>
      </c>
      <c r="F302" s="2" t="b">
        <f t="shared" si="4"/>
        <v>0</v>
      </c>
      <c r="H302" s="18"/>
    </row>
    <row r="303" spans="1:8" ht="33" customHeight="1" x14ac:dyDescent="0.2">
      <c r="A303" s="3">
        <v>60</v>
      </c>
      <c r="B303" s="18" t="s">
        <v>742</v>
      </c>
      <c r="C303" s="18"/>
      <c r="D303" s="18"/>
      <c r="E303" s="18"/>
      <c r="F303" s="18"/>
    </row>
    <row r="304" spans="1:8" ht="15" customHeight="1" x14ac:dyDescent="0.2">
      <c r="A304" s="3">
        <v>60</v>
      </c>
      <c r="B304" s="3" t="s">
        <v>0</v>
      </c>
      <c r="C304" s="8" t="s">
        <v>744</v>
      </c>
      <c r="D304" s="3" t="s">
        <v>7</v>
      </c>
      <c r="F304" s="2" t="b">
        <f t="shared" si="4"/>
        <v>0</v>
      </c>
      <c r="H304" s="18" t="s">
        <v>743</v>
      </c>
    </row>
    <row r="305" spans="1:8" ht="15" customHeight="1" x14ac:dyDescent="0.2">
      <c r="A305" s="3">
        <v>60</v>
      </c>
      <c r="B305" s="3" t="s">
        <v>1</v>
      </c>
      <c r="C305" s="8" t="s">
        <v>745</v>
      </c>
      <c r="D305" s="3" t="s">
        <v>8</v>
      </c>
      <c r="F305" s="2" t="b">
        <f t="shared" si="4"/>
        <v>0</v>
      </c>
      <c r="H305" s="18"/>
    </row>
    <row r="306" spans="1:8" ht="15" customHeight="1" x14ac:dyDescent="0.2">
      <c r="A306" s="3">
        <v>60</v>
      </c>
      <c r="B306" s="3" t="s">
        <v>2</v>
      </c>
      <c r="C306" s="8" t="s">
        <v>746</v>
      </c>
      <c r="D306" s="3" t="s">
        <v>7</v>
      </c>
      <c r="F306" s="2" t="b">
        <f t="shared" si="4"/>
        <v>0</v>
      </c>
      <c r="H306" s="18"/>
    </row>
    <row r="307" spans="1:8" ht="15" customHeight="1" x14ac:dyDescent="0.2">
      <c r="A307" s="3">
        <v>60</v>
      </c>
      <c r="B307" s="3" t="s">
        <v>3</v>
      </c>
      <c r="C307" s="8" t="s">
        <v>747</v>
      </c>
      <c r="D307" s="3" t="s">
        <v>7</v>
      </c>
      <c r="F307" s="2" t="b">
        <f t="shared" si="4"/>
        <v>0</v>
      </c>
      <c r="H307" s="18"/>
    </row>
    <row r="308" spans="1:8" ht="15" customHeight="1" x14ac:dyDescent="0.2">
      <c r="A308" s="3">
        <v>61</v>
      </c>
      <c r="B308" s="19" t="s">
        <v>748</v>
      </c>
      <c r="C308" s="19"/>
      <c r="D308" s="19"/>
      <c r="E308" s="19"/>
      <c r="F308" s="19"/>
    </row>
    <row r="309" spans="1:8" ht="15" customHeight="1" x14ac:dyDescent="0.2">
      <c r="A309" s="3">
        <v>61</v>
      </c>
      <c r="B309" s="3" t="s">
        <v>0</v>
      </c>
      <c r="C309" s="8" t="s">
        <v>750</v>
      </c>
      <c r="D309" s="3" t="s">
        <v>8</v>
      </c>
      <c r="F309" s="2" t="b">
        <f t="shared" si="4"/>
        <v>0</v>
      </c>
      <c r="H309" s="18" t="s">
        <v>749</v>
      </c>
    </row>
    <row r="310" spans="1:8" ht="15" customHeight="1" x14ac:dyDescent="0.2">
      <c r="A310" s="3">
        <v>61</v>
      </c>
      <c r="B310" s="3" t="s">
        <v>1</v>
      </c>
      <c r="C310" s="8" t="s">
        <v>751</v>
      </c>
      <c r="D310" s="3" t="s">
        <v>7</v>
      </c>
      <c r="F310" s="2" t="b">
        <f t="shared" si="4"/>
        <v>0</v>
      </c>
      <c r="H310" s="18"/>
    </row>
    <row r="311" spans="1:8" ht="15" customHeight="1" x14ac:dyDescent="0.2">
      <c r="A311" s="3">
        <v>61</v>
      </c>
      <c r="B311" s="3" t="s">
        <v>2</v>
      </c>
      <c r="C311" s="8" t="s">
        <v>752</v>
      </c>
      <c r="D311" s="3" t="s">
        <v>8</v>
      </c>
      <c r="F311" s="2" t="b">
        <f t="shared" si="4"/>
        <v>0</v>
      </c>
      <c r="H311" s="18"/>
    </row>
    <row r="312" spans="1:8" ht="15" customHeight="1" x14ac:dyDescent="0.2">
      <c r="A312" s="3">
        <v>61</v>
      </c>
      <c r="B312" s="3" t="s">
        <v>3</v>
      </c>
      <c r="C312" s="8" t="s">
        <v>753</v>
      </c>
      <c r="D312" s="3" t="s">
        <v>7</v>
      </c>
      <c r="F312" s="2" t="b">
        <f t="shared" si="4"/>
        <v>0</v>
      </c>
      <c r="H312" s="18"/>
    </row>
    <row r="313" spans="1:8" ht="15" customHeight="1" x14ac:dyDescent="0.2">
      <c r="A313" s="3">
        <v>61</v>
      </c>
      <c r="B313" s="3" t="s">
        <v>6</v>
      </c>
      <c r="C313" s="8" t="s">
        <v>754</v>
      </c>
      <c r="D313" s="3" t="s">
        <v>7</v>
      </c>
      <c r="F313" s="2" t="b">
        <f t="shared" si="4"/>
        <v>0</v>
      </c>
      <c r="H313" s="18"/>
    </row>
    <row r="314" spans="1:8" ht="15" customHeight="1" x14ac:dyDescent="0.2">
      <c r="A314" s="3">
        <v>62</v>
      </c>
      <c r="B314" s="18" t="s">
        <v>755</v>
      </c>
      <c r="C314" s="18"/>
      <c r="D314" s="18"/>
      <c r="E314" s="18"/>
      <c r="F314" s="18"/>
    </row>
    <row r="315" spans="1:8" ht="15" customHeight="1" x14ac:dyDescent="0.2">
      <c r="A315" s="3">
        <v>62</v>
      </c>
      <c r="B315" s="3" t="s">
        <v>0</v>
      </c>
      <c r="C315" s="8" t="b">
        <v>1</v>
      </c>
      <c r="D315" s="3" t="s">
        <v>7</v>
      </c>
      <c r="F315" s="2" t="b">
        <f t="shared" si="4"/>
        <v>0</v>
      </c>
      <c r="H315" s="18" t="s">
        <v>756</v>
      </c>
    </row>
    <row r="316" spans="1:8" ht="15" customHeight="1" x14ac:dyDescent="0.2">
      <c r="A316" s="3">
        <v>62</v>
      </c>
      <c r="B316" s="3" t="s">
        <v>1</v>
      </c>
      <c r="C316" s="8" t="b">
        <v>0</v>
      </c>
      <c r="D316" s="3" t="s">
        <v>8</v>
      </c>
      <c r="F316" s="2" t="b">
        <f t="shared" si="4"/>
        <v>0</v>
      </c>
      <c r="H316" s="18"/>
    </row>
    <row r="317" spans="1:8" ht="32.25" customHeight="1" x14ac:dyDescent="0.2">
      <c r="A317" s="3">
        <v>63</v>
      </c>
      <c r="B317" s="18" t="s">
        <v>757</v>
      </c>
      <c r="C317" s="18"/>
      <c r="D317" s="18"/>
      <c r="E317" s="18"/>
      <c r="F317" s="18"/>
    </row>
    <row r="318" spans="1:8" ht="15" customHeight="1" x14ac:dyDescent="0.2">
      <c r="A318" s="3">
        <v>63</v>
      </c>
      <c r="B318" s="3" t="s">
        <v>0</v>
      </c>
      <c r="C318" s="8" t="s">
        <v>759</v>
      </c>
      <c r="D318" s="3" t="s">
        <v>8</v>
      </c>
      <c r="F318" s="2" t="b">
        <f t="shared" si="4"/>
        <v>0</v>
      </c>
      <c r="H318" s="18" t="s">
        <v>758</v>
      </c>
    </row>
    <row r="319" spans="1:8" ht="15" customHeight="1" x14ac:dyDescent="0.2">
      <c r="A319" s="3">
        <v>63</v>
      </c>
      <c r="B319" s="3" t="s">
        <v>1</v>
      </c>
      <c r="C319" s="8" t="s">
        <v>760</v>
      </c>
      <c r="D319" s="3" t="s">
        <v>7</v>
      </c>
      <c r="F319" s="2" t="b">
        <f t="shared" si="4"/>
        <v>0</v>
      </c>
      <c r="H319" s="18"/>
    </row>
    <row r="320" spans="1:8" ht="15" customHeight="1" x14ac:dyDescent="0.2">
      <c r="A320" s="3">
        <v>63</v>
      </c>
      <c r="B320" s="3" t="s">
        <v>2</v>
      </c>
      <c r="C320" s="8" t="s">
        <v>621</v>
      </c>
      <c r="D320" s="3" t="s">
        <v>7</v>
      </c>
      <c r="F320" s="2" t="b">
        <f t="shared" si="4"/>
        <v>0</v>
      </c>
      <c r="H320" s="18"/>
    </row>
    <row r="321" spans="1:8" ht="15" customHeight="1" x14ac:dyDescent="0.2">
      <c r="A321" s="3">
        <v>63</v>
      </c>
      <c r="B321" s="3" t="s">
        <v>3</v>
      </c>
      <c r="C321" s="8" t="s">
        <v>761</v>
      </c>
      <c r="D321" s="3" t="s">
        <v>7</v>
      </c>
      <c r="F321" s="2" t="b">
        <f t="shared" si="4"/>
        <v>0</v>
      </c>
      <c r="H321" s="18"/>
    </row>
    <row r="322" spans="1:8" ht="64.5" customHeight="1" x14ac:dyDescent="0.2">
      <c r="A322" s="3">
        <v>64</v>
      </c>
      <c r="B322" s="18" t="s">
        <v>762</v>
      </c>
      <c r="C322" s="18"/>
      <c r="D322" s="18"/>
      <c r="E322" s="18"/>
      <c r="F322" s="18"/>
    </row>
    <row r="323" spans="1:8" ht="15" customHeight="1" x14ac:dyDescent="0.2">
      <c r="A323" s="3">
        <v>64</v>
      </c>
      <c r="B323" s="3" t="s">
        <v>0</v>
      </c>
      <c r="C323" s="8" t="s">
        <v>764</v>
      </c>
      <c r="D323" s="3" t="s">
        <v>7</v>
      </c>
      <c r="F323" s="2" t="b">
        <f t="shared" si="4"/>
        <v>0</v>
      </c>
      <c r="H323" s="18" t="s">
        <v>763</v>
      </c>
    </row>
    <row r="324" spans="1:8" ht="15" customHeight="1" x14ac:dyDescent="0.2">
      <c r="A324" s="3">
        <v>64</v>
      </c>
      <c r="B324" s="3" t="s">
        <v>1</v>
      </c>
      <c r="C324" s="8" t="s">
        <v>765</v>
      </c>
      <c r="D324" s="3" t="s">
        <v>7</v>
      </c>
      <c r="F324" s="2" t="b">
        <f t="shared" ref="F324:F331" si="5">D324=E324</f>
        <v>0</v>
      </c>
      <c r="H324" s="18"/>
    </row>
    <row r="325" spans="1:8" ht="15" customHeight="1" x14ac:dyDescent="0.2">
      <c r="A325" s="3">
        <v>64</v>
      </c>
      <c r="B325" s="3" t="s">
        <v>2</v>
      </c>
      <c r="C325" s="8" t="s">
        <v>766</v>
      </c>
      <c r="D325" s="3" t="s">
        <v>8</v>
      </c>
      <c r="F325" s="2" t="b">
        <f t="shared" si="5"/>
        <v>0</v>
      </c>
      <c r="H325" s="18"/>
    </row>
    <row r="326" spans="1:8" ht="15" customHeight="1" x14ac:dyDescent="0.2">
      <c r="A326" s="3">
        <v>64</v>
      </c>
      <c r="B326" s="3" t="s">
        <v>3</v>
      </c>
      <c r="C326" s="8" t="s">
        <v>767</v>
      </c>
      <c r="D326" s="3" t="s">
        <v>7</v>
      </c>
      <c r="F326" s="2" t="b">
        <f t="shared" si="5"/>
        <v>0</v>
      </c>
      <c r="H326" s="18"/>
    </row>
    <row r="327" spans="1:8" ht="32.25" customHeight="1" x14ac:dyDescent="0.2">
      <c r="A327" s="3">
        <v>65</v>
      </c>
      <c r="B327" s="18" t="s">
        <v>768</v>
      </c>
      <c r="C327" s="18"/>
      <c r="D327" s="18"/>
      <c r="E327" s="18"/>
      <c r="F327" s="18"/>
    </row>
    <row r="328" spans="1:8" ht="15" customHeight="1" x14ac:dyDescent="0.2">
      <c r="A328" s="3">
        <v>65</v>
      </c>
      <c r="B328" s="3" t="s">
        <v>0</v>
      </c>
      <c r="C328" s="8" t="s">
        <v>770</v>
      </c>
      <c r="D328" s="3" t="s">
        <v>8</v>
      </c>
      <c r="F328" s="2" t="b">
        <f t="shared" si="5"/>
        <v>0</v>
      </c>
      <c r="H328" s="18" t="s">
        <v>769</v>
      </c>
    </row>
    <row r="329" spans="1:8" ht="15" customHeight="1" x14ac:dyDescent="0.2">
      <c r="A329" s="3">
        <v>65</v>
      </c>
      <c r="B329" s="3" t="s">
        <v>1</v>
      </c>
      <c r="C329" s="8" t="s">
        <v>771</v>
      </c>
      <c r="D329" s="3" t="s">
        <v>7</v>
      </c>
      <c r="F329" s="2" t="b">
        <f t="shared" si="5"/>
        <v>0</v>
      </c>
      <c r="H329" s="18"/>
    </row>
    <row r="330" spans="1:8" ht="15" customHeight="1" x14ac:dyDescent="0.2">
      <c r="A330" s="3">
        <v>65</v>
      </c>
      <c r="B330" s="3" t="s">
        <v>2</v>
      </c>
      <c r="C330" s="8" t="s">
        <v>36</v>
      </c>
      <c r="D330" s="3" t="s">
        <v>7</v>
      </c>
      <c r="F330" s="2" t="b">
        <f t="shared" si="5"/>
        <v>0</v>
      </c>
      <c r="H330" s="18"/>
    </row>
    <row r="331" spans="1:8" ht="15" customHeight="1" x14ac:dyDescent="0.2">
      <c r="A331" s="3">
        <v>65</v>
      </c>
      <c r="B331" s="3" t="s">
        <v>3</v>
      </c>
      <c r="C331" s="8" t="s">
        <v>772</v>
      </c>
      <c r="D331" s="3" t="s">
        <v>7</v>
      </c>
      <c r="F331" s="2" t="b">
        <f t="shared" si="5"/>
        <v>0</v>
      </c>
      <c r="H331" s="18"/>
    </row>
    <row r="332" spans="1:8" ht="15" customHeight="1" x14ac:dyDescent="0.2"/>
    <row r="333" spans="1:8" ht="10" customHeight="1" x14ac:dyDescent="0.2"/>
    <row r="334" spans="1:8" ht="10" customHeight="1" x14ac:dyDescent="0.2"/>
    <row r="335" spans="1:8" ht="10" customHeight="1" x14ac:dyDescent="0.2"/>
    <row r="336" spans="1:8" ht="10" customHeight="1" x14ac:dyDescent="0.2"/>
    <row r="337" ht="10" customHeight="1" x14ac:dyDescent="0.2"/>
    <row r="338" ht="10" customHeight="1" x14ac:dyDescent="0.2"/>
    <row r="339" ht="10" customHeight="1" x14ac:dyDescent="0.2"/>
    <row r="340" ht="10" customHeight="1" x14ac:dyDescent="0.2"/>
    <row r="341" ht="10" customHeight="1" x14ac:dyDescent="0.2"/>
    <row r="342" ht="10" customHeight="1" x14ac:dyDescent="0.2"/>
    <row r="343" ht="10" customHeight="1" x14ac:dyDescent="0.2"/>
    <row r="344" ht="10" customHeight="1" x14ac:dyDescent="0.2"/>
    <row r="345" ht="10" customHeight="1" x14ac:dyDescent="0.2"/>
    <row r="346" ht="10" customHeight="1" x14ac:dyDescent="0.2"/>
    <row r="347" ht="10" customHeight="1" x14ac:dyDescent="0.2"/>
    <row r="348" ht="10" customHeight="1" x14ac:dyDescent="0.2"/>
    <row r="349" ht="10" customHeight="1" x14ac:dyDescent="0.2"/>
    <row r="350" ht="10" customHeight="1" x14ac:dyDescent="0.2"/>
    <row r="351" ht="10" customHeight="1" x14ac:dyDescent="0.2"/>
    <row r="352" ht="10" customHeight="1" x14ac:dyDescent="0.2"/>
    <row r="353" ht="10" customHeight="1" x14ac:dyDescent="0.2"/>
    <row r="354" ht="10" customHeight="1" x14ac:dyDescent="0.2"/>
    <row r="355" ht="10" customHeight="1" x14ac:dyDescent="0.2"/>
    <row r="356" ht="10" customHeight="1" x14ac:dyDescent="0.2"/>
    <row r="357" ht="10" customHeight="1" x14ac:dyDescent="0.2"/>
    <row r="358" ht="10" customHeight="1" x14ac:dyDescent="0.2"/>
    <row r="359" ht="10" customHeight="1" x14ac:dyDescent="0.2"/>
    <row r="360" ht="10" customHeight="1" x14ac:dyDescent="0.2"/>
    <row r="361" ht="10" customHeight="1" x14ac:dyDescent="0.2"/>
    <row r="362" ht="10" customHeight="1" x14ac:dyDescent="0.2"/>
    <row r="363" ht="10" customHeight="1" x14ac:dyDescent="0.2"/>
    <row r="364" ht="10" customHeight="1" x14ac:dyDescent="0.2"/>
    <row r="365" ht="10" customHeight="1" x14ac:dyDescent="0.2"/>
    <row r="366" ht="10" customHeight="1" x14ac:dyDescent="0.2"/>
    <row r="367" ht="10" customHeight="1" x14ac:dyDescent="0.2"/>
    <row r="368" ht="10" customHeight="1" x14ac:dyDescent="0.2"/>
    <row r="369" ht="10" customHeight="1" x14ac:dyDescent="0.2"/>
    <row r="370" ht="10" customHeight="1" x14ac:dyDescent="0.2"/>
    <row r="371" ht="10" customHeight="1" x14ac:dyDescent="0.2"/>
    <row r="372" ht="10" customHeight="1" x14ac:dyDescent="0.2"/>
    <row r="373" ht="10" customHeight="1" x14ac:dyDescent="0.2"/>
    <row r="374" ht="10" customHeight="1" x14ac:dyDescent="0.2"/>
    <row r="375" ht="10" customHeight="1" x14ac:dyDescent="0.2"/>
    <row r="376" ht="10" customHeight="1" x14ac:dyDescent="0.2"/>
    <row r="377" ht="10" customHeight="1" x14ac:dyDescent="0.2"/>
    <row r="378" ht="10" customHeight="1" x14ac:dyDescent="0.2"/>
    <row r="379" ht="10" customHeight="1" x14ac:dyDescent="0.2"/>
    <row r="380" ht="10" customHeight="1" x14ac:dyDescent="0.2"/>
    <row r="381" ht="10" customHeight="1" x14ac:dyDescent="0.2"/>
    <row r="382" ht="10" customHeight="1" x14ac:dyDescent="0.2"/>
    <row r="383" ht="10" customHeight="1" x14ac:dyDescent="0.2"/>
    <row r="384" ht="10" customHeight="1" x14ac:dyDescent="0.2"/>
    <row r="385" ht="10" customHeight="1" x14ac:dyDescent="0.2"/>
    <row r="386" ht="10" customHeight="1" x14ac:dyDescent="0.2"/>
    <row r="387" ht="10" customHeight="1" x14ac:dyDescent="0.2"/>
    <row r="388" ht="10" customHeight="1" x14ac:dyDescent="0.2"/>
    <row r="389" ht="10" customHeight="1" x14ac:dyDescent="0.2"/>
    <row r="390" ht="10" customHeight="1" x14ac:dyDescent="0.2"/>
    <row r="391" ht="10" customHeight="1" x14ac:dyDescent="0.2"/>
    <row r="392" ht="10" customHeight="1" x14ac:dyDescent="0.2"/>
    <row r="393" ht="10" customHeight="1" x14ac:dyDescent="0.2"/>
    <row r="394" ht="10" customHeight="1" x14ac:dyDescent="0.2"/>
    <row r="395" ht="10" customHeight="1" x14ac:dyDescent="0.2"/>
    <row r="396" ht="10" customHeight="1" x14ac:dyDescent="0.2"/>
    <row r="397" ht="10" customHeight="1" x14ac:dyDescent="0.2"/>
    <row r="398" ht="10" customHeight="1" x14ac:dyDescent="0.2"/>
    <row r="399" ht="10" customHeight="1" x14ac:dyDescent="0.2"/>
    <row r="400" ht="10" customHeight="1" x14ac:dyDescent="0.2"/>
    <row r="401" ht="10" customHeight="1" x14ac:dyDescent="0.2"/>
    <row r="402" ht="10" customHeight="1" x14ac:dyDescent="0.2"/>
    <row r="403" ht="10" customHeight="1" x14ac:dyDescent="0.2"/>
    <row r="404" ht="10" customHeight="1" x14ac:dyDescent="0.2"/>
    <row r="405" ht="10" customHeight="1" x14ac:dyDescent="0.2"/>
    <row r="406" ht="10" customHeight="1" x14ac:dyDescent="0.2"/>
    <row r="407" ht="10" customHeight="1" x14ac:dyDescent="0.2"/>
    <row r="408" ht="10" customHeight="1" x14ac:dyDescent="0.2"/>
    <row r="409" ht="10" customHeight="1" x14ac:dyDescent="0.2"/>
    <row r="410" ht="10" customHeight="1" x14ac:dyDescent="0.2"/>
    <row r="411" ht="10" customHeight="1" x14ac:dyDescent="0.2"/>
    <row r="412" ht="10" customHeight="1" x14ac:dyDescent="0.2"/>
    <row r="413" ht="10" customHeight="1" x14ac:dyDescent="0.2"/>
    <row r="414" ht="10" customHeight="1" x14ac:dyDescent="0.2"/>
    <row r="415" ht="10" customHeight="1" x14ac:dyDescent="0.2"/>
    <row r="416" ht="10" customHeight="1" x14ac:dyDescent="0.2"/>
    <row r="417" ht="10" customHeight="1" x14ac:dyDescent="0.2"/>
    <row r="418" ht="10" customHeight="1" x14ac:dyDescent="0.2"/>
    <row r="419" ht="10" customHeight="1" x14ac:dyDescent="0.2"/>
    <row r="420" ht="10" customHeight="1" x14ac:dyDescent="0.2"/>
    <row r="421" ht="10" customHeight="1" x14ac:dyDescent="0.2"/>
    <row r="422" ht="10" customHeight="1" x14ac:dyDescent="0.2"/>
    <row r="423" ht="10" customHeight="1" x14ac:dyDescent="0.2"/>
    <row r="424" ht="10" customHeight="1" x14ac:dyDescent="0.2"/>
    <row r="425" ht="10" customHeight="1" x14ac:dyDescent="0.2"/>
    <row r="426" ht="10" customHeight="1" x14ac:dyDescent="0.2"/>
    <row r="427" ht="10" customHeight="1" x14ac:dyDescent="0.2"/>
    <row r="428" ht="10" customHeight="1" x14ac:dyDescent="0.2"/>
    <row r="429" ht="10" customHeight="1" x14ac:dyDescent="0.2"/>
    <row r="430" ht="10" customHeight="1" x14ac:dyDescent="0.2"/>
    <row r="431" ht="10" customHeight="1" x14ac:dyDescent="0.2"/>
    <row r="432" ht="10" customHeight="1" x14ac:dyDescent="0.2"/>
    <row r="433" ht="10" customHeight="1" x14ac:dyDescent="0.2"/>
    <row r="434" ht="10" customHeight="1" x14ac:dyDescent="0.2"/>
    <row r="435" ht="10" customHeight="1" x14ac:dyDescent="0.2"/>
    <row r="436" ht="10" customHeight="1" x14ac:dyDescent="0.2"/>
    <row r="437" ht="10" customHeight="1" x14ac:dyDescent="0.2"/>
    <row r="438" ht="10" customHeight="1" x14ac:dyDescent="0.2"/>
    <row r="439" ht="10" customHeight="1" x14ac:dyDescent="0.2"/>
    <row r="440" ht="10" customHeight="1" x14ac:dyDescent="0.2"/>
    <row r="441" ht="10" customHeight="1" x14ac:dyDescent="0.2"/>
    <row r="442" ht="10" customHeight="1" x14ac:dyDescent="0.2"/>
    <row r="443" ht="10" customHeight="1" x14ac:dyDescent="0.2"/>
    <row r="444" ht="10" customHeight="1" x14ac:dyDescent="0.2"/>
    <row r="445" ht="10" customHeight="1" x14ac:dyDescent="0.2"/>
    <row r="446" ht="10" customHeight="1" x14ac:dyDescent="0.2"/>
    <row r="447" ht="10" customHeight="1" x14ac:dyDescent="0.2"/>
    <row r="448" ht="10" customHeight="1" x14ac:dyDescent="0.2"/>
  </sheetData>
  <mergeCells count="131">
    <mergeCell ref="H323:H326"/>
    <mergeCell ref="B327:F327"/>
    <mergeCell ref="H328:H331"/>
    <mergeCell ref="H309:H313"/>
    <mergeCell ref="B314:F314"/>
    <mergeCell ref="H315:H316"/>
    <mergeCell ref="B317:F317"/>
    <mergeCell ref="H318:H321"/>
    <mergeCell ref="B322:F322"/>
    <mergeCell ref="H294:H297"/>
    <mergeCell ref="B298:F298"/>
    <mergeCell ref="H299:H302"/>
    <mergeCell ref="B303:F303"/>
    <mergeCell ref="H304:H307"/>
    <mergeCell ref="B308:F308"/>
    <mergeCell ref="H279:H282"/>
    <mergeCell ref="B283:F283"/>
    <mergeCell ref="H284:H287"/>
    <mergeCell ref="B288:F288"/>
    <mergeCell ref="H289:H292"/>
    <mergeCell ref="B293:F293"/>
    <mergeCell ref="H264:H267"/>
    <mergeCell ref="B268:F268"/>
    <mergeCell ref="H269:H272"/>
    <mergeCell ref="B273:F273"/>
    <mergeCell ref="H274:H277"/>
    <mergeCell ref="B278:F278"/>
    <mergeCell ref="H248:H251"/>
    <mergeCell ref="B252:F252"/>
    <mergeCell ref="H253:H256"/>
    <mergeCell ref="B257:F257"/>
    <mergeCell ref="H258:H262"/>
    <mergeCell ref="B263:F263"/>
    <mergeCell ref="H233:H236"/>
    <mergeCell ref="B237:F237"/>
    <mergeCell ref="H238:H241"/>
    <mergeCell ref="B242:F242"/>
    <mergeCell ref="H243:H246"/>
    <mergeCell ref="B247:F247"/>
    <mergeCell ref="H220:H223"/>
    <mergeCell ref="B224:F224"/>
    <mergeCell ref="H225:H226"/>
    <mergeCell ref="B227:F227"/>
    <mergeCell ref="H228:H231"/>
    <mergeCell ref="B232:F232"/>
    <mergeCell ref="H204:H207"/>
    <mergeCell ref="B208:F208"/>
    <mergeCell ref="H209:H212"/>
    <mergeCell ref="B213:F213"/>
    <mergeCell ref="H214:H218"/>
    <mergeCell ref="B219:F219"/>
    <mergeCell ref="H191:H192"/>
    <mergeCell ref="B193:F193"/>
    <mergeCell ref="H194:H197"/>
    <mergeCell ref="B198:F198"/>
    <mergeCell ref="H199:H202"/>
    <mergeCell ref="B203:F203"/>
    <mergeCell ref="H176:H179"/>
    <mergeCell ref="B180:F180"/>
    <mergeCell ref="H181:H184"/>
    <mergeCell ref="B185:F185"/>
    <mergeCell ref="H186:H189"/>
    <mergeCell ref="B190:F190"/>
    <mergeCell ref="H161:H164"/>
    <mergeCell ref="B165:F165"/>
    <mergeCell ref="H166:H169"/>
    <mergeCell ref="B170:F170"/>
    <mergeCell ref="H171:H174"/>
    <mergeCell ref="B175:F175"/>
    <mergeCell ref="H146:H149"/>
    <mergeCell ref="B150:F150"/>
    <mergeCell ref="H151:H154"/>
    <mergeCell ref="B155:F155"/>
    <mergeCell ref="H156:H159"/>
    <mergeCell ref="B160:F160"/>
    <mergeCell ref="H131:H134"/>
    <mergeCell ref="B135:F135"/>
    <mergeCell ref="H136:H139"/>
    <mergeCell ref="B140:F140"/>
    <mergeCell ref="H141:H144"/>
    <mergeCell ref="B145:F145"/>
    <mergeCell ref="H113:H117"/>
    <mergeCell ref="B118:F118"/>
    <mergeCell ref="H119:H123"/>
    <mergeCell ref="B124:F124"/>
    <mergeCell ref="H125:H129"/>
    <mergeCell ref="B130:F130"/>
    <mergeCell ref="H97:H103"/>
    <mergeCell ref="B104:F104"/>
    <mergeCell ref="H105:H106"/>
    <mergeCell ref="B107:F107"/>
    <mergeCell ref="H108:H111"/>
    <mergeCell ref="B112:F112"/>
    <mergeCell ref="H81:H84"/>
    <mergeCell ref="B85:F85"/>
    <mergeCell ref="H86:H89"/>
    <mergeCell ref="B90:F90"/>
    <mergeCell ref="H91:H95"/>
    <mergeCell ref="B96:F96"/>
    <mergeCell ref="H63:H66"/>
    <mergeCell ref="B67:F67"/>
    <mergeCell ref="H68:H74"/>
    <mergeCell ref="B75:F75"/>
    <mergeCell ref="H76:H79"/>
    <mergeCell ref="B80:F80"/>
    <mergeCell ref="H48:H51"/>
    <mergeCell ref="B52:F52"/>
    <mergeCell ref="H53:H56"/>
    <mergeCell ref="B57:F57"/>
    <mergeCell ref="H58:H61"/>
    <mergeCell ref="B62:F62"/>
    <mergeCell ref="H31:H35"/>
    <mergeCell ref="B36:F36"/>
    <mergeCell ref="H37:H40"/>
    <mergeCell ref="B41:F41"/>
    <mergeCell ref="H42:H46"/>
    <mergeCell ref="B47:F47"/>
    <mergeCell ref="B30:F30"/>
    <mergeCell ref="A1:C1"/>
    <mergeCell ref="B2:F2"/>
    <mergeCell ref="H3:H4"/>
    <mergeCell ref="H6:H10"/>
    <mergeCell ref="B5:F5"/>
    <mergeCell ref="B11:F11"/>
    <mergeCell ref="B17:F17"/>
    <mergeCell ref="B20:F20"/>
    <mergeCell ref="H21:H24"/>
    <mergeCell ref="B25:F25"/>
    <mergeCell ref="H26:H29"/>
    <mergeCell ref="H12:H16"/>
    <mergeCell ref="H18:H19"/>
  </mergeCells>
  <conditionalFormatting sqref="F3:F4 F6:F10 F12:F16 F18:F19 F21:F24 F26:F29 F31:F35 F37:F40 F42:F46 F48:F51 F53:F56 F58:F61 F63:F66 F68:F74 F76:F79 F81:F84 F86:F89 F91:F95 F97:F103 F105:F106 F108:F111 F113:F117 F119:F123 F125:F129 F131:F134 F136:F139 F141:F144 F146:F149 F151:F154 F156:F159 F161:F164 F166:F169 F171:F174 F176:F179 F181:F184 F186:F189 F191:F192 F194:F197 F199:F202 F204:F207 F209:F212 F214:F218 F220:F223 F225:F226 F228:F231 F233:F236 F238:F241 F243:F246 F248:F251 F253:F256 F258:F262 F264:F267 F269:F272 F274:F277 F279:F282 F284:F287 F289:F292 F294:F297 F299:F302 F304:F307 F309:F313 F315:F316 F318:F321 F323:F326 F328:F331">
    <cfRule type="cellIs" dxfId="73" priority="1" operator="equal">
      <formula>FALSE</formula>
    </cfRule>
    <cfRule type="cellIs" dxfId="72" priority="2" operator="equal">
      <formula>TRUE</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4"/>
  <sheetViews>
    <sheetView workbookViewId="0">
      <selection sqref="A1:C1"/>
    </sheetView>
  </sheetViews>
  <sheetFormatPr baseColWidth="10" defaultColWidth="9.1640625" defaultRowHeight="15" customHeight="1" x14ac:dyDescent="0.2"/>
  <cols>
    <col min="1" max="2" width="4.6640625" style="3" customWidth="1"/>
    <col min="3" max="3" width="91.33203125" style="8" customWidth="1"/>
    <col min="4" max="4" width="10.1640625" style="3" hidden="1" customWidth="1"/>
    <col min="5" max="5" width="12" style="2" customWidth="1"/>
    <col min="6" max="6" width="11.1640625" style="2" customWidth="1"/>
    <col min="7" max="7" width="3.6640625" style="2" customWidth="1"/>
    <col min="8" max="8" width="161.5" style="9" customWidth="1"/>
    <col min="9" max="16384" width="9.1640625" style="2"/>
  </cols>
  <sheetData>
    <row r="1" spans="1:8" ht="15" customHeight="1" x14ac:dyDescent="0.2">
      <c r="A1" s="20" t="s">
        <v>24</v>
      </c>
      <c r="B1" s="20"/>
      <c r="C1" s="20"/>
      <c r="E1" s="4" t="s">
        <v>26</v>
      </c>
      <c r="F1" s="4" t="s">
        <v>25</v>
      </c>
      <c r="G1" s="4"/>
      <c r="H1" s="14" t="s">
        <v>424</v>
      </c>
    </row>
    <row r="2" spans="1:8" ht="51.75" customHeight="1" x14ac:dyDescent="0.2">
      <c r="A2" s="3">
        <v>1</v>
      </c>
      <c r="B2" s="18" t="s">
        <v>773</v>
      </c>
      <c r="C2" s="18"/>
      <c r="D2" s="18"/>
      <c r="E2" s="18"/>
      <c r="F2" s="18"/>
    </row>
    <row r="3" spans="1:8" ht="15" customHeight="1" x14ac:dyDescent="0.2">
      <c r="A3" s="3">
        <v>1</v>
      </c>
      <c r="B3" s="3" t="s">
        <v>0</v>
      </c>
      <c r="C3" s="8" t="s">
        <v>775</v>
      </c>
      <c r="D3" s="3" t="s">
        <v>7</v>
      </c>
      <c r="F3" s="2" t="b">
        <f>D3=E3</f>
        <v>0</v>
      </c>
      <c r="H3" s="18" t="s">
        <v>774</v>
      </c>
    </row>
    <row r="4" spans="1:8" ht="15" customHeight="1" x14ac:dyDescent="0.2">
      <c r="A4" s="3">
        <v>1</v>
      </c>
      <c r="B4" s="3" t="s">
        <v>1</v>
      </c>
      <c r="C4" s="8" t="s">
        <v>776</v>
      </c>
      <c r="D4" s="3" t="s">
        <v>7</v>
      </c>
      <c r="F4" s="2" t="b">
        <f t="shared" ref="F4:F67" si="0">D4=E4</f>
        <v>0</v>
      </c>
      <c r="H4" s="18"/>
    </row>
    <row r="5" spans="1:8" ht="15" customHeight="1" x14ac:dyDescent="0.2">
      <c r="A5" s="3">
        <v>1</v>
      </c>
      <c r="B5" s="3" t="s">
        <v>2</v>
      </c>
      <c r="C5" s="8" t="s">
        <v>777</v>
      </c>
      <c r="D5" s="3" t="s">
        <v>7</v>
      </c>
      <c r="F5" s="2" t="b">
        <f t="shared" si="0"/>
        <v>0</v>
      </c>
      <c r="H5" s="18"/>
    </row>
    <row r="6" spans="1:8" ht="15" customHeight="1" x14ac:dyDescent="0.2">
      <c r="A6" s="3">
        <v>1</v>
      </c>
      <c r="B6" s="3" t="s">
        <v>3</v>
      </c>
      <c r="C6" s="8" t="s">
        <v>778</v>
      </c>
      <c r="D6" s="3" t="s">
        <v>8</v>
      </c>
      <c r="F6" s="2" t="b">
        <f t="shared" si="0"/>
        <v>0</v>
      </c>
      <c r="H6" s="18"/>
    </row>
    <row r="7" spans="1:8" ht="36.75" customHeight="1" x14ac:dyDescent="0.2">
      <c r="A7" s="3">
        <v>2</v>
      </c>
      <c r="B7" s="18" t="s">
        <v>779</v>
      </c>
      <c r="C7" s="18"/>
      <c r="D7" s="18"/>
      <c r="E7" s="18"/>
      <c r="F7" s="18"/>
    </row>
    <row r="8" spans="1:8" ht="15" customHeight="1" x14ac:dyDescent="0.2">
      <c r="A8" s="3">
        <v>2</v>
      </c>
      <c r="B8" s="3" t="s">
        <v>0</v>
      </c>
      <c r="C8" s="8" t="s">
        <v>781</v>
      </c>
      <c r="D8" s="3" t="s">
        <v>7</v>
      </c>
      <c r="F8" s="2" t="b">
        <f t="shared" si="0"/>
        <v>0</v>
      </c>
      <c r="H8" s="18" t="s">
        <v>780</v>
      </c>
    </row>
    <row r="9" spans="1:8" ht="15" customHeight="1" x14ac:dyDescent="0.2">
      <c r="A9" s="3">
        <v>2</v>
      </c>
      <c r="B9" s="3" t="s">
        <v>1</v>
      </c>
      <c r="C9" s="8" t="s">
        <v>782</v>
      </c>
      <c r="D9" s="3" t="s">
        <v>8</v>
      </c>
      <c r="F9" s="2" t="b">
        <f t="shared" si="0"/>
        <v>0</v>
      </c>
      <c r="H9" s="18"/>
    </row>
    <row r="10" spans="1:8" ht="15" customHeight="1" x14ac:dyDescent="0.2">
      <c r="A10" s="3">
        <v>2</v>
      </c>
      <c r="B10" s="3" t="s">
        <v>2</v>
      </c>
      <c r="C10" s="8" t="s">
        <v>783</v>
      </c>
      <c r="D10" s="3" t="s">
        <v>7</v>
      </c>
      <c r="F10" s="2" t="b">
        <f t="shared" si="0"/>
        <v>0</v>
      </c>
      <c r="H10" s="18"/>
    </row>
    <row r="11" spans="1:8" ht="15" customHeight="1" x14ac:dyDescent="0.2">
      <c r="A11" s="3">
        <v>2</v>
      </c>
      <c r="B11" s="3" t="s">
        <v>3</v>
      </c>
      <c r="C11" s="8" t="s">
        <v>784</v>
      </c>
      <c r="D11" s="3" t="s">
        <v>7</v>
      </c>
      <c r="F11" s="2" t="b">
        <f t="shared" si="0"/>
        <v>0</v>
      </c>
      <c r="H11" s="18"/>
    </row>
    <row r="12" spans="1:8" ht="15" customHeight="1" x14ac:dyDescent="0.2">
      <c r="A12" s="3">
        <v>3</v>
      </c>
      <c r="B12" s="19" t="s">
        <v>785</v>
      </c>
      <c r="C12" s="19"/>
      <c r="D12" s="19"/>
      <c r="E12" s="19"/>
      <c r="F12" s="19"/>
    </row>
    <row r="13" spans="1:8" ht="15" customHeight="1" x14ac:dyDescent="0.2">
      <c r="A13" s="3">
        <v>3</v>
      </c>
      <c r="B13" s="3" t="s">
        <v>0</v>
      </c>
      <c r="C13" s="8" t="s">
        <v>787</v>
      </c>
      <c r="D13" s="3" t="s">
        <v>8</v>
      </c>
      <c r="F13" s="2" t="b">
        <f t="shared" si="0"/>
        <v>0</v>
      </c>
      <c r="H13" s="18" t="s">
        <v>786</v>
      </c>
    </row>
    <row r="14" spans="1:8" ht="15" customHeight="1" x14ac:dyDescent="0.2">
      <c r="A14" s="3">
        <v>3</v>
      </c>
      <c r="B14" s="3" t="s">
        <v>1</v>
      </c>
      <c r="C14" s="8" t="s">
        <v>34</v>
      </c>
      <c r="D14" s="3" t="s">
        <v>7</v>
      </c>
      <c r="F14" s="2" t="b">
        <f t="shared" si="0"/>
        <v>0</v>
      </c>
      <c r="H14" s="18"/>
    </row>
    <row r="15" spans="1:8" ht="15" customHeight="1" x14ac:dyDescent="0.2">
      <c r="A15" s="3">
        <v>3</v>
      </c>
      <c r="B15" s="3" t="s">
        <v>2</v>
      </c>
      <c r="C15" s="8" t="s">
        <v>99</v>
      </c>
      <c r="D15" s="3" t="s">
        <v>8</v>
      </c>
      <c r="F15" s="2" t="b">
        <f t="shared" si="0"/>
        <v>0</v>
      </c>
      <c r="H15" s="18"/>
    </row>
    <row r="16" spans="1:8" ht="15" customHeight="1" x14ac:dyDescent="0.2">
      <c r="A16" s="3">
        <v>3</v>
      </c>
      <c r="B16" s="3" t="s">
        <v>3</v>
      </c>
      <c r="C16" s="8" t="s">
        <v>33</v>
      </c>
      <c r="D16" s="3" t="s">
        <v>7</v>
      </c>
      <c r="F16" s="2" t="b">
        <f t="shared" si="0"/>
        <v>0</v>
      </c>
      <c r="H16" s="18"/>
    </row>
    <row r="17" spans="1:8" ht="15" customHeight="1" x14ac:dyDescent="0.2">
      <c r="A17" s="3">
        <v>3</v>
      </c>
      <c r="B17" s="3" t="s">
        <v>6</v>
      </c>
      <c r="C17" s="8" t="s">
        <v>788</v>
      </c>
      <c r="D17" s="3" t="s">
        <v>7</v>
      </c>
      <c r="F17" s="2" t="b">
        <f t="shared" si="0"/>
        <v>0</v>
      </c>
      <c r="H17" s="18"/>
    </row>
    <row r="18" spans="1:8" ht="35.25" customHeight="1" x14ac:dyDescent="0.2">
      <c r="A18" s="3">
        <v>4</v>
      </c>
      <c r="B18" s="18" t="s">
        <v>789</v>
      </c>
      <c r="C18" s="18"/>
      <c r="D18" s="18"/>
      <c r="E18" s="18"/>
      <c r="F18" s="18"/>
    </row>
    <row r="19" spans="1:8" ht="15" customHeight="1" x14ac:dyDescent="0.2">
      <c r="A19" s="3">
        <v>4</v>
      </c>
      <c r="B19" s="3" t="s">
        <v>0</v>
      </c>
      <c r="C19" s="8" t="s">
        <v>791</v>
      </c>
      <c r="D19" s="3" t="s">
        <v>7</v>
      </c>
      <c r="F19" s="2" t="b">
        <f t="shared" si="0"/>
        <v>0</v>
      </c>
      <c r="H19" s="18" t="s">
        <v>790</v>
      </c>
    </row>
    <row r="20" spans="1:8" ht="15" customHeight="1" x14ac:dyDescent="0.2">
      <c r="A20" s="3">
        <v>4</v>
      </c>
      <c r="B20" s="3" t="s">
        <v>1</v>
      </c>
      <c r="C20" s="8" t="s">
        <v>792</v>
      </c>
      <c r="D20" s="3" t="s">
        <v>8</v>
      </c>
      <c r="F20" s="2" t="b">
        <f t="shared" si="0"/>
        <v>0</v>
      </c>
      <c r="H20" s="18"/>
    </row>
    <row r="21" spans="1:8" ht="15" customHeight="1" x14ac:dyDescent="0.2">
      <c r="A21" s="3">
        <v>4</v>
      </c>
      <c r="B21" s="3" t="s">
        <v>2</v>
      </c>
      <c r="C21" s="8" t="s">
        <v>793</v>
      </c>
      <c r="D21" s="3" t="s">
        <v>7</v>
      </c>
      <c r="F21" s="2" t="b">
        <f t="shared" si="0"/>
        <v>0</v>
      </c>
      <c r="H21" s="18"/>
    </row>
    <row r="22" spans="1:8" ht="15" customHeight="1" x14ac:dyDescent="0.2">
      <c r="A22" s="3">
        <v>4</v>
      </c>
      <c r="B22" s="3" t="s">
        <v>3</v>
      </c>
      <c r="C22" s="8" t="s">
        <v>794</v>
      </c>
      <c r="D22" s="3" t="s">
        <v>7</v>
      </c>
      <c r="F22" s="2" t="b">
        <f t="shared" si="0"/>
        <v>0</v>
      </c>
      <c r="H22" s="18"/>
    </row>
    <row r="23" spans="1:8" ht="31.5" customHeight="1" x14ac:dyDescent="0.2">
      <c r="A23" s="3">
        <v>5</v>
      </c>
      <c r="B23" s="18" t="s">
        <v>795</v>
      </c>
      <c r="C23" s="18"/>
      <c r="D23" s="18"/>
      <c r="E23" s="18"/>
      <c r="F23" s="18"/>
    </row>
    <row r="24" spans="1:8" ht="15" customHeight="1" x14ac:dyDescent="0.2">
      <c r="A24" s="3">
        <v>5</v>
      </c>
      <c r="B24" s="3" t="s">
        <v>0</v>
      </c>
      <c r="C24" s="8" t="s">
        <v>797</v>
      </c>
      <c r="D24" s="3" t="s">
        <v>7</v>
      </c>
      <c r="F24" s="2" t="b">
        <f t="shared" si="0"/>
        <v>0</v>
      </c>
      <c r="H24" s="18" t="s">
        <v>796</v>
      </c>
    </row>
    <row r="25" spans="1:8" ht="15" customHeight="1" x14ac:dyDescent="0.2">
      <c r="A25" s="3">
        <v>5</v>
      </c>
      <c r="B25" s="3" t="s">
        <v>1</v>
      </c>
      <c r="C25" s="8" t="s">
        <v>798</v>
      </c>
      <c r="D25" s="3" t="s">
        <v>7</v>
      </c>
      <c r="F25" s="2" t="b">
        <f t="shared" si="0"/>
        <v>0</v>
      </c>
      <c r="H25" s="18"/>
    </row>
    <row r="26" spans="1:8" ht="15" customHeight="1" x14ac:dyDescent="0.2">
      <c r="A26" s="3">
        <v>5</v>
      </c>
      <c r="B26" s="3" t="s">
        <v>2</v>
      </c>
      <c r="C26" s="8" t="s">
        <v>622</v>
      </c>
      <c r="D26" s="3" t="s">
        <v>7</v>
      </c>
      <c r="F26" s="2" t="b">
        <f t="shared" si="0"/>
        <v>0</v>
      </c>
      <c r="H26" s="18"/>
    </row>
    <row r="27" spans="1:8" ht="15" customHeight="1" x14ac:dyDescent="0.2">
      <c r="A27" s="3">
        <v>5</v>
      </c>
      <c r="B27" s="3" t="s">
        <v>3</v>
      </c>
      <c r="C27" s="8" t="s">
        <v>799</v>
      </c>
      <c r="D27" s="3" t="s">
        <v>8</v>
      </c>
      <c r="F27" s="2" t="b">
        <f t="shared" si="0"/>
        <v>0</v>
      </c>
      <c r="H27" s="18"/>
    </row>
    <row r="28" spans="1:8" ht="33.75" customHeight="1" x14ac:dyDescent="0.2">
      <c r="A28" s="3">
        <v>6</v>
      </c>
      <c r="B28" s="18" t="s">
        <v>800</v>
      </c>
      <c r="C28" s="18"/>
      <c r="D28" s="18"/>
      <c r="E28" s="18"/>
      <c r="F28" s="18"/>
    </row>
    <row r="29" spans="1:8" ht="15" customHeight="1" x14ac:dyDescent="0.2">
      <c r="A29" s="3">
        <v>6</v>
      </c>
      <c r="B29" s="3" t="s">
        <v>0</v>
      </c>
      <c r="C29" s="8" t="s">
        <v>802</v>
      </c>
      <c r="D29" s="3" t="s">
        <v>8</v>
      </c>
      <c r="F29" s="2" t="b">
        <f t="shared" si="0"/>
        <v>0</v>
      </c>
      <c r="H29" s="18" t="s">
        <v>801</v>
      </c>
    </row>
    <row r="30" spans="1:8" ht="15" customHeight="1" x14ac:dyDescent="0.2">
      <c r="A30" s="3">
        <v>6</v>
      </c>
      <c r="B30" s="3" t="s">
        <v>1</v>
      </c>
      <c r="C30" s="8" t="s">
        <v>317</v>
      </c>
      <c r="D30" s="3" t="s">
        <v>7</v>
      </c>
      <c r="F30" s="2" t="b">
        <f t="shared" si="0"/>
        <v>0</v>
      </c>
      <c r="H30" s="18"/>
    </row>
    <row r="31" spans="1:8" ht="15" customHeight="1" x14ac:dyDescent="0.2">
      <c r="A31" s="3">
        <v>6</v>
      </c>
      <c r="B31" s="3" t="s">
        <v>2</v>
      </c>
      <c r="C31" s="8" t="s">
        <v>319</v>
      </c>
      <c r="D31" s="3" t="s">
        <v>7</v>
      </c>
      <c r="F31" s="2" t="b">
        <f t="shared" si="0"/>
        <v>0</v>
      </c>
      <c r="H31" s="18"/>
    </row>
    <row r="32" spans="1:8" ht="15" customHeight="1" x14ac:dyDescent="0.2">
      <c r="A32" s="3">
        <v>6</v>
      </c>
      <c r="B32" s="3" t="s">
        <v>3</v>
      </c>
      <c r="C32" s="8" t="s">
        <v>803</v>
      </c>
      <c r="D32" s="3" t="s">
        <v>7</v>
      </c>
      <c r="F32" s="2" t="b">
        <f t="shared" si="0"/>
        <v>0</v>
      </c>
      <c r="H32" s="18"/>
    </row>
    <row r="33" spans="1:8" ht="33.75" customHeight="1" x14ac:dyDescent="0.2">
      <c r="A33" s="3">
        <v>7</v>
      </c>
      <c r="B33" s="18" t="s">
        <v>804</v>
      </c>
      <c r="C33" s="18"/>
      <c r="D33" s="18"/>
      <c r="E33" s="18"/>
      <c r="F33" s="18"/>
    </row>
    <row r="34" spans="1:8" ht="15" customHeight="1" x14ac:dyDescent="0.2">
      <c r="A34" s="3">
        <v>7</v>
      </c>
      <c r="B34" s="3" t="s">
        <v>0</v>
      </c>
      <c r="C34" s="8" t="s">
        <v>806</v>
      </c>
      <c r="D34" s="3" t="s">
        <v>7</v>
      </c>
      <c r="F34" s="2" t="b">
        <f t="shared" si="0"/>
        <v>0</v>
      </c>
      <c r="H34" s="18" t="s">
        <v>805</v>
      </c>
    </row>
    <row r="35" spans="1:8" ht="15" customHeight="1" x14ac:dyDescent="0.2">
      <c r="A35" s="3">
        <v>7</v>
      </c>
      <c r="B35" s="3" t="s">
        <v>1</v>
      </c>
      <c r="C35" s="8" t="s">
        <v>807</v>
      </c>
      <c r="D35" s="3" t="s">
        <v>7</v>
      </c>
      <c r="F35" s="2" t="b">
        <f t="shared" si="0"/>
        <v>0</v>
      </c>
      <c r="H35" s="18"/>
    </row>
    <row r="36" spans="1:8" ht="15" customHeight="1" x14ac:dyDescent="0.2">
      <c r="A36" s="3">
        <v>7</v>
      </c>
      <c r="B36" s="3" t="s">
        <v>2</v>
      </c>
      <c r="C36" s="8" t="s">
        <v>808</v>
      </c>
      <c r="D36" s="3" t="s">
        <v>7</v>
      </c>
      <c r="F36" s="2" t="b">
        <f t="shared" si="0"/>
        <v>0</v>
      </c>
      <c r="H36" s="18"/>
    </row>
    <row r="37" spans="1:8" ht="15" customHeight="1" x14ac:dyDescent="0.2">
      <c r="A37" s="3">
        <v>7</v>
      </c>
      <c r="B37" s="3" t="s">
        <v>3</v>
      </c>
      <c r="C37" s="8" t="s">
        <v>809</v>
      </c>
      <c r="D37" s="3" t="s">
        <v>8</v>
      </c>
      <c r="F37" s="2" t="b">
        <f t="shared" si="0"/>
        <v>0</v>
      </c>
      <c r="H37" s="18"/>
    </row>
    <row r="38" spans="1:8" ht="15" customHeight="1" x14ac:dyDescent="0.2">
      <c r="A38" s="3">
        <v>8</v>
      </c>
      <c r="B38" s="19" t="s">
        <v>810</v>
      </c>
      <c r="C38" s="19"/>
      <c r="D38" s="19"/>
      <c r="E38" s="19"/>
      <c r="F38" s="19"/>
    </row>
    <row r="39" spans="1:8" ht="15" customHeight="1" x14ac:dyDescent="0.2">
      <c r="A39" s="3">
        <v>8</v>
      </c>
      <c r="B39" s="3" t="s">
        <v>0</v>
      </c>
      <c r="C39" s="8" t="s">
        <v>812</v>
      </c>
      <c r="D39" s="3" t="s">
        <v>8</v>
      </c>
      <c r="F39" s="2" t="b">
        <f t="shared" si="0"/>
        <v>0</v>
      </c>
      <c r="H39" s="18" t="s">
        <v>811</v>
      </c>
    </row>
    <row r="40" spans="1:8" ht="15" customHeight="1" x14ac:dyDescent="0.2">
      <c r="A40" s="3">
        <v>8</v>
      </c>
      <c r="B40" s="3" t="s">
        <v>1</v>
      </c>
      <c r="C40" s="8" t="s">
        <v>813</v>
      </c>
      <c r="D40" s="3" t="s">
        <v>7</v>
      </c>
      <c r="F40" s="2" t="b">
        <f t="shared" si="0"/>
        <v>0</v>
      </c>
      <c r="H40" s="18"/>
    </row>
    <row r="41" spans="1:8" ht="15" customHeight="1" x14ac:dyDescent="0.2">
      <c r="A41" s="3">
        <v>8</v>
      </c>
      <c r="B41" s="3" t="s">
        <v>2</v>
      </c>
      <c r="C41" s="8" t="s">
        <v>814</v>
      </c>
      <c r="D41" s="3" t="s">
        <v>7</v>
      </c>
      <c r="F41" s="2" t="b">
        <f t="shared" si="0"/>
        <v>0</v>
      </c>
      <c r="H41" s="18"/>
    </row>
    <row r="42" spans="1:8" ht="15" customHeight="1" x14ac:dyDescent="0.2">
      <c r="A42" s="3">
        <v>8</v>
      </c>
      <c r="B42" s="3" t="s">
        <v>3</v>
      </c>
      <c r="C42" s="8" t="s">
        <v>815</v>
      </c>
      <c r="D42" s="3" t="s">
        <v>7</v>
      </c>
      <c r="F42" s="2" t="b">
        <f t="shared" si="0"/>
        <v>0</v>
      </c>
      <c r="H42" s="18"/>
    </row>
    <row r="43" spans="1:8" ht="15" customHeight="1" x14ac:dyDescent="0.2">
      <c r="A43" s="3">
        <v>9</v>
      </c>
      <c r="B43" s="19" t="s">
        <v>816</v>
      </c>
      <c r="C43" s="19"/>
      <c r="D43" s="19"/>
      <c r="E43" s="19"/>
      <c r="F43" s="19"/>
    </row>
    <row r="44" spans="1:8" ht="15" customHeight="1" x14ac:dyDescent="0.2">
      <c r="A44" s="3">
        <v>9</v>
      </c>
      <c r="B44" s="3" t="s">
        <v>0</v>
      </c>
      <c r="C44" s="8" t="s">
        <v>818</v>
      </c>
      <c r="D44" s="3" t="s">
        <v>7</v>
      </c>
      <c r="F44" s="2" t="b">
        <f t="shared" si="0"/>
        <v>0</v>
      </c>
      <c r="H44" s="18" t="s">
        <v>817</v>
      </c>
    </row>
    <row r="45" spans="1:8" ht="15" customHeight="1" x14ac:dyDescent="0.2">
      <c r="A45" s="3">
        <v>9</v>
      </c>
      <c r="B45" s="3" t="s">
        <v>1</v>
      </c>
      <c r="C45" s="11" t="s">
        <v>819</v>
      </c>
      <c r="D45" s="3" t="s">
        <v>7</v>
      </c>
      <c r="F45" s="2" t="b">
        <f t="shared" si="0"/>
        <v>0</v>
      </c>
      <c r="H45" s="18"/>
    </row>
    <row r="46" spans="1:8" ht="15" customHeight="1" x14ac:dyDescent="0.2">
      <c r="A46" s="3">
        <v>9</v>
      </c>
      <c r="B46" s="3" t="s">
        <v>2</v>
      </c>
      <c r="C46" s="12">
        <v>0.99999899999999997</v>
      </c>
      <c r="D46" s="3" t="s">
        <v>7</v>
      </c>
      <c r="F46" s="2" t="b">
        <f t="shared" si="0"/>
        <v>0</v>
      </c>
      <c r="H46" s="18"/>
    </row>
    <row r="47" spans="1:8" ht="15" customHeight="1" x14ac:dyDescent="0.2">
      <c r="A47" s="3">
        <v>9</v>
      </c>
      <c r="B47" s="3" t="s">
        <v>3</v>
      </c>
      <c r="C47" s="13">
        <v>0.99999999999</v>
      </c>
      <c r="D47" s="3" t="s">
        <v>8</v>
      </c>
      <c r="F47" s="2" t="b">
        <f t="shared" si="0"/>
        <v>0</v>
      </c>
      <c r="H47" s="18"/>
    </row>
    <row r="48" spans="1:8" ht="15" customHeight="1" x14ac:dyDescent="0.2">
      <c r="A48" s="3">
        <v>10</v>
      </c>
      <c r="B48" s="19" t="s">
        <v>820</v>
      </c>
      <c r="C48" s="19"/>
      <c r="D48" s="19"/>
      <c r="E48" s="19"/>
      <c r="F48" s="19"/>
    </row>
    <row r="49" spans="1:8" ht="15" customHeight="1" x14ac:dyDescent="0.2">
      <c r="A49" s="3">
        <v>10</v>
      </c>
      <c r="B49" s="3" t="s">
        <v>0</v>
      </c>
      <c r="C49" s="8" t="s">
        <v>17</v>
      </c>
      <c r="D49" s="3" t="s">
        <v>7</v>
      </c>
      <c r="F49" s="2" t="b">
        <f t="shared" si="0"/>
        <v>0</v>
      </c>
      <c r="H49" s="18" t="s">
        <v>821</v>
      </c>
    </row>
    <row r="50" spans="1:8" ht="15" customHeight="1" x14ac:dyDescent="0.2">
      <c r="A50" s="3">
        <v>10</v>
      </c>
      <c r="B50" s="3" t="s">
        <v>1</v>
      </c>
      <c r="C50" s="8" t="s">
        <v>18</v>
      </c>
      <c r="D50" s="3" t="s">
        <v>8</v>
      </c>
      <c r="F50" s="2" t="b">
        <f t="shared" si="0"/>
        <v>0</v>
      </c>
      <c r="H50" s="18"/>
    </row>
    <row r="51" spans="1:8" ht="15" customHeight="1" x14ac:dyDescent="0.2">
      <c r="A51" s="3">
        <v>10</v>
      </c>
      <c r="B51" s="3" t="s">
        <v>2</v>
      </c>
      <c r="C51" s="8" t="s">
        <v>19</v>
      </c>
      <c r="D51" s="3" t="s">
        <v>7</v>
      </c>
      <c r="F51" s="2" t="b">
        <f t="shared" si="0"/>
        <v>0</v>
      </c>
      <c r="H51" s="18"/>
    </row>
    <row r="52" spans="1:8" ht="15" customHeight="1" x14ac:dyDescent="0.2">
      <c r="A52" s="3">
        <v>10</v>
      </c>
      <c r="B52" s="3" t="s">
        <v>3</v>
      </c>
      <c r="C52" s="8" t="s">
        <v>822</v>
      </c>
      <c r="D52" s="3" t="s">
        <v>7</v>
      </c>
      <c r="F52" s="2" t="b">
        <f t="shared" si="0"/>
        <v>0</v>
      </c>
      <c r="H52" s="18"/>
    </row>
    <row r="53" spans="1:8" ht="15" customHeight="1" x14ac:dyDescent="0.2">
      <c r="A53" s="3">
        <v>11</v>
      </c>
      <c r="B53" s="19" t="s">
        <v>823</v>
      </c>
      <c r="C53" s="19"/>
      <c r="D53" s="19"/>
      <c r="E53" s="19"/>
      <c r="F53" s="19"/>
    </row>
    <row r="54" spans="1:8" ht="15" customHeight="1" x14ac:dyDescent="0.2">
      <c r="A54" s="3">
        <v>11</v>
      </c>
      <c r="B54" s="3" t="s">
        <v>0</v>
      </c>
      <c r="C54" s="8" t="s">
        <v>496</v>
      </c>
      <c r="D54" s="3" t="s">
        <v>7</v>
      </c>
      <c r="F54" s="2" t="b">
        <f t="shared" si="0"/>
        <v>0</v>
      </c>
      <c r="H54" s="18" t="s">
        <v>824</v>
      </c>
    </row>
    <row r="55" spans="1:8" ht="15" customHeight="1" x14ac:dyDescent="0.2">
      <c r="A55" s="3">
        <v>11</v>
      </c>
      <c r="B55" s="3" t="s">
        <v>1</v>
      </c>
      <c r="C55" s="8" t="s">
        <v>21</v>
      </c>
      <c r="D55" s="3" t="s">
        <v>8</v>
      </c>
      <c r="F55" s="2" t="b">
        <f t="shared" si="0"/>
        <v>0</v>
      </c>
      <c r="H55" s="18"/>
    </row>
    <row r="56" spans="1:8" ht="15" customHeight="1" x14ac:dyDescent="0.2">
      <c r="A56" s="3">
        <v>11</v>
      </c>
      <c r="B56" s="3" t="s">
        <v>2</v>
      </c>
      <c r="C56" s="8" t="s">
        <v>617</v>
      </c>
      <c r="D56" s="3" t="s">
        <v>7</v>
      </c>
      <c r="F56" s="2" t="b">
        <f t="shared" si="0"/>
        <v>0</v>
      </c>
      <c r="H56" s="18"/>
    </row>
    <row r="57" spans="1:8" ht="15" customHeight="1" x14ac:dyDescent="0.2">
      <c r="A57" s="3">
        <v>11</v>
      </c>
      <c r="B57" s="3" t="s">
        <v>3</v>
      </c>
      <c r="C57" s="8" t="s">
        <v>615</v>
      </c>
      <c r="D57" s="3" t="s">
        <v>7</v>
      </c>
      <c r="F57" s="2" t="b">
        <f t="shared" si="0"/>
        <v>0</v>
      </c>
      <c r="H57" s="18"/>
    </row>
    <row r="58" spans="1:8" ht="34.5" customHeight="1" x14ac:dyDescent="0.2">
      <c r="A58" s="3">
        <v>12</v>
      </c>
      <c r="B58" s="18" t="s">
        <v>825</v>
      </c>
      <c r="C58" s="18"/>
      <c r="D58" s="18"/>
      <c r="E58" s="18"/>
      <c r="F58" s="18"/>
    </row>
    <row r="59" spans="1:8" ht="15" customHeight="1" x14ac:dyDescent="0.2">
      <c r="A59" s="3">
        <v>12</v>
      </c>
      <c r="B59" s="3" t="s">
        <v>0</v>
      </c>
      <c r="C59" s="8" t="b">
        <v>1</v>
      </c>
      <c r="D59" s="3" t="s">
        <v>8</v>
      </c>
      <c r="F59" s="2" t="b">
        <f t="shared" si="0"/>
        <v>0</v>
      </c>
      <c r="H59" s="18" t="s">
        <v>826</v>
      </c>
    </row>
    <row r="60" spans="1:8" ht="15" customHeight="1" x14ac:dyDescent="0.2">
      <c r="A60" s="3">
        <v>12</v>
      </c>
      <c r="B60" s="3" t="s">
        <v>1</v>
      </c>
      <c r="C60" s="8" t="b">
        <v>0</v>
      </c>
      <c r="D60" s="3" t="s">
        <v>7</v>
      </c>
      <c r="F60" s="2" t="b">
        <f t="shared" si="0"/>
        <v>0</v>
      </c>
      <c r="H60" s="18"/>
    </row>
    <row r="61" spans="1:8" ht="15" customHeight="1" x14ac:dyDescent="0.2">
      <c r="A61" s="3">
        <v>13</v>
      </c>
      <c r="B61" s="19" t="s">
        <v>827</v>
      </c>
      <c r="C61" s="19"/>
      <c r="D61" s="19"/>
      <c r="E61" s="19"/>
      <c r="F61" s="19"/>
    </row>
    <row r="62" spans="1:8" ht="15" customHeight="1" x14ac:dyDescent="0.2">
      <c r="A62" s="3">
        <v>13</v>
      </c>
      <c r="B62" s="3" t="s">
        <v>0</v>
      </c>
      <c r="C62" s="8" t="s">
        <v>829</v>
      </c>
      <c r="D62" s="3" t="s">
        <v>7</v>
      </c>
      <c r="F62" s="2" t="b">
        <f t="shared" si="0"/>
        <v>0</v>
      </c>
      <c r="H62" s="18" t="s">
        <v>828</v>
      </c>
    </row>
    <row r="63" spans="1:8" ht="15" customHeight="1" x14ac:dyDescent="0.2">
      <c r="A63" s="3">
        <v>13</v>
      </c>
      <c r="B63" s="3" t="s">
        <v>1</v>
      </c>
      <c r="C63" s="8" t="s">
        <v>496</v>
      </c>
      <c r="D63" s="3" t="s">
        <v>8</v>
      </c>
      <c r="F63" s="2" t="b">
        <f t="shared" si="0"/>
        <v>0</v>
      </c>
      <c r="H63" s="18"/>
    </row>
    <row r="64" spans="1:8" ht="15" customHeight="1" x14ac:dyDescent="0.2">
      <c r="A64" s="3">
        <v>13</v>
      </c>
      <c r="B64" s="3" t="s">
        <v>2</v>
      </c>
      <c r="C64" s="8" t="s">
        <v>830</v>
      </c>
      <c r="D64" s="3" t="s">
        <v>7</v>
      </c>
      <c r="F64" s="2" t="b">
        <f t="shared" si="0"/>
        <v>0</v>
      </c>
      <c r="H64" s="18"/>
    </row>
    <row r="65" spans="1:8" ht="15" customHeight="1" x14ac:dyDescent="0.2">
      <c r="A65" s="3">
        <v>13</v>
      </c>
      <c r="B65" s="3" t="s">
        <v>3</v>
      </c>
      <c r="C65" s="8" t="s">
        <v>740</v>
      </c>
      <c r="D65" s="3" t="s">
        <v>7</v>
      </c>
      <c r="F65" s="2" t="b">
        <f t="shared" si="0"/>
        <v>0</v>
      </c>
      <c r="H65" s="18"/>
    </row>
    <row r="66" spans="1:8" ht="15" customHeight="1" x14ac:dyDescent="0.2">
      <c r="A66" s="3">
        <v>14</v>
      </c>
      <c r="B66" s="19" t="s">
        <v>831</v>
      </c>
      <c r="C66" s="19"/>
      <c r="D66" s="19"/>
      <c r="E66" s="19"/>
      <c r="F66" s="19"/>
    </row>
    <row r="67" spans="1:8" ht="15" customHeight="1" x14ac:dyDescent="0.2">
      <c r="A67" s="3">
        <v>14</v>
      </c>
      <c r="B67" s="3" t="s">
        <v>0</v>
      </c>
      <c r="C67" s="8" t="s">
        <v>36</v>
      </c>
      <c r="D67" s="3" t="s">
        <v>8</v>
      </c>
      <c r="F67" s="2" t="b">
        <f t="shared" si="0"/>
        <v>0</v>
      </c>
      <c r="H67" s="18" t="s">
        <v>832</v>
      </c>
    </row>
    <row r="68" spans="1:8" ht="15" customHeight="1" x14ac:dyDescent="0.2">
      <c r="A68" s="3">
        <v>14</v>
      </c>
      <c r="B68" s="3" t="s">
        <v>1</v>
      </c>
      <c r="C68" s="8" t="s">
        <v>830</v>
      </c>
      <c r="D68" s="3" t="s">
        <v>7</v>
      </c>
      <c r="F68" s="2" t="b">
        <f t="shared" ref="F68:F130" si="1">D68=E68</f>
        <v>0</v>
      </c>
      <c r="H68" s="18"/>
    </row>
    <row r="69" spans="1:8" ht="15" customHeight="1" x14ac:dyDescent="0.2">
      <c r="A69" s="3">
        <v>14</v>
      </c>
      <c r="B69" s="3" t="s">
        <v>2</v>
      </c>
      <c r="C69" s="8" t="s">
        <v>617</v>
      </c>
      <c r="D69" s="3" t="s">
        <v>7</v>
      </c>
      <c r="F69" s="2" t="b">
        <f t="shared" si="1"/>
        <v>0</v>
      </c>
      <c r="H69" s="18"/>
    </row>
    <row r="70" spans="1:8" ht="15" customHeight="1" x14ac:dyDescent="0.2">
      <c r="A70" s="3">
        <v>14</v>
      </c>
      <c r="B70" s="3" t="s">
        <v>3</v>
      </c>
      <c r="C70" s="8" t="s">
        <v>833</v>
      </c>
      <c r="D70" s="3" t="s">
        <v>7</v>
      </c>
      <c r="F70" s="2" t="b">
        <f t="shared" si="1"/>
        <v>0</v>
      </c>
      <c r="H70" s="18"/>
    </row>
    <row r="71" spans="1:8" ht="15" customHeight="1" x14ac:dyDescent="0.2">
      <c r="A71" s="3">
        <v>15</v>
      </c>
      <c r="B71" s="19" t="s">
        <v>834</v>
      </c>
      <c r="C71" s="19"/>
      <c r="D71" s="19"/>
      <c r="E71" s="19"/>
      <c r="F71" s="19"/>
    </row>
    <row r="72" spans="1:8" ht="15" customHeight="1" x14ac:dyDescent="0.2">
      <c r="A72" s="3">
        <v>15</v>
      </c>
      <c r="B72" s="3" t="s">
        <v>0</v>
      </c>
      <c r="C72" s="8" t="s">
        <v>836</v>
      </c>
      <c r="D72" s="3" t="s">
        <v>7</v>
      </c>
      <c r="F72" s="2" t="b">
        <f t="shared" si="1"/>
        <v>0</v>
      </c>
      <c r="H72" s="18" t="s">
        <v>835</v>
      </c>
    </row>
    <row r="73" spans="1:8" ht="15" customHeight="1" x14ac:dyDescent="0.2">
      <c r="A73" s="3">
        <v>15</v>
      </c>
      <c r="B73" s="3" t="s">
        <v>1</v>
      </c>
      <c r="C73" s="8" t="s">
        <v>837</v>
      </c>
      <c r="D73" s="3" t="s">
        <v>7</v>
      </c>
      <c r="F73" s="2" t="b">
        <f t="shared" si="1"/>
        <v>0</v>
      </c>
      <c r="H73" s="18"/>
    </row>
    <row r="74" spans="1:8" ht="15" customHeight="1" x14ac:dyDescent="0.2">
      <c r="A74" s="3">
        <v>15</v>
      </c>
      <c r="B74" s="3" t="s">
        <v>2</v>
      </c>
      <c r="C74" s="8" t="s">
        <v>838</v>
      </c>
      <c r="D74" s="3" t="s">
        <v>8</v>
      </c>
      <c r="F74" s="2" t="b">
        <f t="shared" si="1"/>
        <v>0</v>
      </c>
      <c r="H74" s="18"/>
    </row>
    <row r="75" spans="1:8" ht="15" customHeight="1" x14ac:dyDescent="0.2">
      <c r="A75" s="3">
        <v>15</v>
      </c>
      <c r="B75" s="3" t="s">
        <v>3</v>
      </c>
      <c r="C75" s="8" t="s">
        <v>839</v>
      </c>
      <c r="D75" s="3" t="s">
        <v>7</v>
      </c>
      <c r="F75" s="2" t="b">
        <f t="shared" si="1"/>
        <v>0</v>
      </c>
      <c r="H75" s="18"/>
    </row>
    <row r="76" spans="1:8" ht="15" customHeight="1" x14ac:dyDescent="0.2">
      <c r="A76" s="3">
        <v>16</v>
      </c>
      <c r="B76" s="19" t="s">
        <v>840</v>
      </c>
      <c r="C76" s="19"/>
      <c r="D76" s="19"/>
      <c r="E76" s="19"/>
      <c r="F76" s="19"/>
    </row>
    <row r="77" spans="1:8" ht="15" customHeight="1" x14ac:dyDescent="0.2">
      <c r="A77" s="3">
        <v>16</v>
      </c>
      <c r="B77" s="3" t="s">
        <v>0</v>
      </c>
      <c r="C77" s="8" t="s">
        <v>842</v>
      </c>
      <c r="D77" s="3" t="s">
        <v>7</v>
      </c>
      <c r="F77" s="2" t="b">
        <f t="shared" si="1"/>
        <v>0</v>
      </c>
      <c r="H77" s="18" t="s">
        <v>841</v>
      </c>
    </row>
    <row r="78" spans="1:8" ht="15" customHeight="1" x14ac:dyDescent="0.2">
      <c r="A78" s="3">
        <v>16</v>
      </c>
      <c r="B78" s="3" t="s">
        <v>1</v>
      </c>
      <c r="C78" s="8" t="s">
        <v>843</v>
      </c>
      <c r="D78" s="3" t="s">
        <v>7</v>
      </c>
      <c r="F78" s="2" t="b">
        <f t="shared" si="1"/>
        <v>0</v>
      </c>
      <c r="H78" s="18"/>
    </row>
    <row r="79" spans="1:8" ht="15" customHeight="1" x14ac:dyDescent="0.2">
      <c r="A79" s="3">
        <v>16</v>
      </c>
      <c r="B79" s="3" t="s">
        <v>2</v>
      </c>
      <c r="C79" s="8" t="s">
        <v>844</v>
      </c>
      <c r="D79" s="3" t="s">
        <v>7</v>
      </c>
      <c r="F79" s="2" t="b">
        <f t="shared" si="1"/>
        <v>0</v>
      </c>
      <c r="H79" s="18"/>
    </row>
    <row r="80" spans="1:8" ht="15" customHeight="1" x14ac:dyDescent="0.2">
      <c r="A80" s="3">
        <v>16</v>
      </c>
      <c r="B80" s="3" t="s">
        <v>3</v>
      </c>
      <c r="C80" s="8" t="s">
        <v>845</v>
      </c>
      <c r="D80" s="3" t="s">
        <v>8</v>
      </c>
      <c r="F80" s="2" t="b">
        <f t="shared" si="1"/>
        <v>0</v>
      </c>
      <c r="H80" s="18"/>
    </row>
    <row r="81" spans="1:8" ht="30.75" customHeight="1" x14ac:dyDescent="0.2">
      <c r="A81" s="3">
        <v>17</v>
      </c>
      <c r="B81" s="18" t="s">
        <v>846</v>
      </c>
      <c r="C81" s="18"/>
      <c r="D81" s="18"/>
      <c r="E81" s="18"/>
      <c r="F81" s="18"/>
    </row>
    <row r="82" spans="1:8" ht="15" customHeight="1" x14ac:dyDescent="0.2">
      <c r="A82" s="3">
        <v>17</v>
      </c>
      <c r="B82" s="3" t="s">
        <v>0</v>
      </c>
      <c r="C82" s="8" t="s">
        <v>101</v>
      </c>
      <c r="D82" s="3" t="s">
        <v>7</v>
      </c>
      <c r="F82" s="2" t="b">
        <f t="shared" si="1"/>
        <v>0</v>
      </c>
      <c r="H82" s="18" t="s">
        <v>847</v>
      </c>
    </row>
    <row r="83" spans="1:8" ht="15" customHeight="1" x14ac:dyDescent="0.2">
      <c r="A83" s="3">
        <v>17</v>
      </c>
      <c r="B83" s="3" t="s">
        <v>1</v>
      </c>
      <c r="C83" s="8" t="s">
        <v>39</v>
      </c>
      <c r="D83" s="3" t="s">
        <v>7</v>
      </c>
      <c r="F83" s="2" t="b">
        <f t="shared" si="1"/>
        <v>0</v>
      </c>
      <c r="H83" s="18"/>
    </row>
    <row r="84" spans="1:8" ht="15" customHeight="1" x14ac:dyDescent="0.2">
      <c r="A84" s="3">
        <v>17</v>
      </c>
      <c r="B84" s="3" t="s">
        <v>2</v>
      </c>
      <c r="C84" s="8" t="s">
        <v>15</v>
      </c>
      <c r="D84" s="3" t="s">
        <v>7</v>
      </c>
      <c r="F84" s="2" t="b">
        <f t="shared" si="1"/>
        <v>0</v>
      </c>
      <c r="H84" s="18"/>
    </row>
    <row r="85" spans="1:8" ht="15" customHeight="1" x14ac:dyDescent="0.2">
      <c r="A85" s="3">
        <v>17</v>
      </c>
      <c r="B85" s="3" t="s">
        <v>3</v>
      </c>
      <c r="C85" s="8" t="s">
        <v>16</v>
      </c>
      <c r="D85" s="3" t="s">
        <v>8</v>
      </c>
      <c r="F85" s="2" t="b">
        <f t="shared" si="1"/>
        <v>0</v>
      </c>
      <c r="H85" s="18"/>
    </row>
    <row r="86" spans="1:8" ht="15" customHeight="1" x14ac:dyDescent="0.2">
      <c r="A86" s="3">
        <v>18</v>
      </c>
      <c r="B86" s="18" t="s">
        <v>848</v>
      </c>
      <c r="C86" s="18"/>
      <c r="D86" s="18"/>
      <c r="E86" s="18"/>
      <c r="F86" s="18"/>
    </row>
    <row r="87" spans="1:8" ht="15" customHeight="1" x14ac:dyDescent="0.2">
      <c r="A87" s="3">
        <v>18</v>
      </c>
      <c r="B87" s="3" t="s">
        <v>0</v>
      </c>
      <c r="C87" s="8" t="s">
        <v>850</v>
      </c>
      <c r="D87" s="3" t="s">
        <v>7</v>
      </c>
      <c r="F87" s="2" t="b">
        <f t="shared" si="1"/>
        <v>0</v>
      </c>
      <c r="H87" s="18" t="s">
        <v>849</v>
      </c>
    </row>
    <row r="88" spans="1:8" ht="15" customHeight="1" x14ac:dyDescent="0.2">
      <c r="A88" s="3">
        <v>18</v>
      </c>
      <c r="B88" s="3" t="s">
        <v>1</v>
      </c>
      <c r="C88" s="8" t="s">
        <v>851</v>
      </c>
      <c r="D88" s="3" t="s">
        <v>7</v>
      </c>
      <c r="F88" s="2" t="b">
        <f t="shared" si="1"/>
        <v>0</v>
      </c>
      <c r="H88" s="18"/>
    </row>
    <row r="89" spans="1:8" ht="15" customHeight="1" x14ac:dyDescent="0.2">
      <c r="A89" s="3">
        <v>18</v>
      </c>
      <c r="B89" s="3" t="s">
        <v>2</v>
      </c>
      <c r="C89" s="8" t="s">
        <v>852</v>
      </c>
      <c r="D89" s="3" t="s">
        <v>7</v>
      </c>
      <c r="F89" s="2" t="b">
        <f t="shared" si="1"/>
        <v>0</v>
      </c>
      <c r="H89" s="18"/>
    </row>
    <row r="90" spans="1:8" ht="15" customHeight="1" x14ac:dyDescent="0.2">
      <c r="A90" s="3">
        <v>18</v>
      </c>
      <c r="B90" s="3" t="s">
        <v>3</v>
      </c>
      <c r="C90" s="8" t="s">
        <v>853</v>
      </c>
      <c r="D90" s="3" t="s">
        <v>8</v>
      </c>
      <c r="F90" s="2" t="b">
        <f t="shared" si="1"/>
        <v>0</v>
      </c>
      <c r="H90" s="18"/>
    </row>
    <row r="91" spans="1:8" ht="122.25" customHeight="1" x14ac:dyDescent="0.2">
      <c r="A91" s="3">
        <v>19</v>
      </c>
      <c r="B91" s="18" t="s">
        <v>1091</v>
      </c>
      <c r="C91" s="18"/>
      <c r="D91" s="18"/>
      <c r="E91" s="18"/>
      <c r="F91" s="18"/>
    </row>
    <row r="92" spans="1:8" ht="36.75" customHeight="1" x14ac:dyDescent="0.2">
      <c r="A92" s="3">
        <v>19</v>
      </c>
      <c r="B92" s="3" t="s">
        <v>0</v>
      </c>
      <c r="C92" s="10" t="s">
        <v>855</v>
      </c>
      <c r="D92" s="3" t="s">
        <v>7</v>
      </c>
      <c r="F92" s="2" t="b">
        <f t="shared" si="1"/>
        <v>0</v>
      </c>
      <c r="H92" s="18" t="s">
        <v>854</v>
      </c>
    </row>
    <row r="93" spans="1:8" ht="15" customHeight="1" x14ac:dyDescent="0.2">
      <c r="A93" s="3">
        <v>19</v>
      </c>
      <c r="B93" s="3" t="s">
        <v>1</v>
      </c>
      <c r="C93" s="8" t="s">
        <v>856</v>
      </c>
      <c r="D93" s="3" t="s">
        <v>7</v>
      </c>
      <c r="F93" s="2" t="b">
        <f t="shared" si="1"/>
        <v>0</v>
      </c>
      <c r="H93" s="18"/>
    </row>
    <row r="94" spans="1:8" ht="29.25" customHeight="1" x14ac:dyDescent="0.2">
      <c r="A94" s="3">
        <v>19</v>
      </c>
      <c r="B94" s="3" t="s">
        <v>2</v>
      </c>
      <c r="C94" s="10" t="s">
        <v>857</v>
      </c>
      <c r="D94" s="3" t="s">
        <v>8</v>
      </c>
      <c r="F94" s="2" t="b">
        <f t="shared" si="1"/>
        <v>0</v>
      </c>
      <c r="H94" s="18"/>
    </row>
    <row r="95" spans="1:8" ht="15" customHeight="1" x14ac:dyDescent="0.2">
      <c r="A95" s="3">
        <v>19</v>
      </c>
      <c r="B95" s="3" t="s">
        <v>3</v>
      </c>
      <c r="C95" s="8" t="s">
        <v>858</v>
      </c>
      <c r="D95" s="3" t="s">
        <v>7</v>
      </c>
      <c r="F95" s="2" t="b">
        <f t="shared" si="1"/>
        <v>0</v>
      </c>
      <c r="H95" s="18"/>
    </row>
    <row r="96" spans="1:8" ht="15" customHeight="1" x14ac:dyDescent="0.2">
      <c r="A96" s="3">
        <v>20</v>
      </c>
      <c r="B96" s="19" t="s">
        <v>859</v>
      </c>
      <c r="C96" s="19"/>
      <c r="D96" s="19"/>
      <c r="E96" s="19"/>
      <c r="F96" s="19"/>
    </row>
    <row r="97" spans="1:8" ht="15" customHeight="1" x14ac:dyDescent="0.2">
      <c r="A97" s="3">
        <v>20</v>
      </c>
      <c r="B97" s="3" t="s">
        <v>0</v>
      </c>
      <c r="C97" s="8" t="s">
        <v>861</v>
      </c>
      <c r="D97" s="3" t="s">
        <v>8</v>
      </c>
      <c r="F97" s="2" t="b">
        <f t="shared" si="1"/>
        <v>0</v>
      </c>
      <c r="H97" s="18" t="s">
        <v>860</v>
      </c>
    </row>
    <row r="98" spans="1:8" ht="15" customHeight="1" x14ac:dyDescent="0.2">
      <c r="A98" s="3">
        <v>20</v>
      </c>
      <c r="B98" s="3" t="s">
        <v>1</v>
      </c>
      <c r="C98" s="8" t="s">
        <v>862</v>
      </c>
      <c r="D98" s="3" t="s">
        <v>7</v>
      </c>
      <c r="F98" s="2" t="b">
        <f t="shared" si="1"/>
        <v>0</v>
      </c>
      <c r="H98" s="18"/>
    </row>
    <row r="99" spans="1:8" ht="15" customHeight="1" x14ac:dyDescent="0.2">
      <c r="A99" s="3">
        <v>20</v>
      </c>
      <c r="B99" s="3" t="s">
        <v>2</v>
      </c>
      <c r="C99" s="8" t="s">
        <v>863</v>
      </c>
      <c r="D99" s="3" t="s">
        <v>7</v>
      </c>
      <c r="F99" s="2" t="b">
        <f t="shared" si="1"/>
        <v>0</v>
      </c>
      <c r="H99" s="18"/>
    </row>
    <row r="100" spans="1:8" ht="15" customHeight="1" x14ac:dyDescent="0.2">
      <c r="A100" s="3">
        <v>20</v>
      </c>
      <c r="B100" s="3" t="s">
        <v>3</v>
      </c>
      <c r="C100" s="8" t="s">
        <v>864</v>
      </c>
      <c r="D100" s="3" t="s">
        <v>8</v>
      </c>
      <c r="F100" s="2" t="b">
        <f t="shared" si="1"/>
        <v>0</v>
      </c>
      <c r="H100" s="18"/>
    </row>
    <row r="101" spans="1:8" ht="54" customHeight="1" x14ac:dyDescent="0.2">
      <c r="A101" s="3">
        <v>21</v>
      </c>
      <c r="B101" s="18" t="s">
        <v>865</v>
      </c>
      <c r="C101" s="18"/>
      <c r="D101" s="18"/>
      <c r="E101" s="18"/>
      <c r="F101" s="18"/>
    </row>
    <row r="102" spans="1:8" ht="15" customHeight="1" x14ac:dyDescent="0.2">
      <c r="A102" s="3">
        <v>21</v>
      </c>
      <c r="B102" s="3" t="s">
        <v>0</v>
      </c>
      <c r="C102" s="8" t="s">
        <v>9</v>
      </c>
      <c r="D102" s="3" t="s">
        <v>7</v>
      </c>
      <c r="F102" s="2" t="b">
        <f t="shared" si="1"/>
        <v>0</v>
      </c>
      <c r="H102" s="18" t="s">
        <v>866</v>
      </c>
    </row>
    <row r="103" spans="1:8" ht="15" customHeight="1" x14ac:dyDescent="0.2">
      <c r="A103" s="3">
        <v>21</v>
      </c>
      <c r="B103" s="3" t="s">
        <v>1</v>
      </c>
      <c r="C103" s="8" t="s">
        <v>867</v>
      </c>
      <c r="D103" s="3" t="s">
        <v>7</v>
      </c>
      <c r="F103" s="2" t="b">
        <f t="shared" si="1"/>
        <v>0</v>
      </c>
      <c r="H103" s="18"/>
    </row>
    <row r="104" spans="1:8" ht="15" customHeight="1" x14ac:dyDescent="0.2">
      <c r="A104" s="3">
        <v>21</v>
      </c>
      <c r="B104" s="3" t="s">
        <v>2</v>
      </c>
      <c r="C104" s="8" t="s">
        <v>74</v>
      </c>
      <c r="D104" s="3" t="s">
        <v>8</v>
      </c>
      <c r="F104" s="2" t="b">
        <f t="shared" si="1"/>
        <v>0</v>
      </c>
      <c r="H104" s="18"/>
    </row>
    <row r="105" spans="1:8" ht="15" customHeight="1" x14ac:dyDescent="0.2">
      <c r="A105" s="3">
        <v>21</v>
      </c>
      <c r="B105" s="3" t="s">
        <v>3</v>
      </c>
      <c r="C105" s="8" t="s">
        <v>72</v>
      </c>
      <c r="D105" s="3" t="s">
        <v>7</v>
      </c>
      <c r="F105" s="2" t="b">
        <f t="shared" si="1"/>
        <v>0</v>
      </c>
      <c r="H105" s="18"/>
    </row>
    <row r="106" spans="1:8" ht="15" customHeight="1" x14ac:dyDescent="0.2">
      <c r="A106" s="3">
        <v>22</v>
      </c>
      <c r="B106" s="19" t="s">
        <v>868</v>
      </c>
      <c r="C106" s="19"/>
      <c r="D106" s="19"/>
      <c r="E106" s="19"/>
      <c r="F106" s="19"/>
    </row>
    <row r="107" spans="1:8" ht="15" customHeight="1" x14ac:dyDescent="0.2">
      <c r="A107" s="3">
        <v>22</v>
      </c>
      <c r="B107" s="3" t="s">
        <v>0</v>
      </c>
      <c r="C107" s="8" t="s">
        <v>870</v>
      </c>
      <c r="D107" s="3" t="s">
        <v>7</v>
      </c>
      <c r="F107" s="2" t="b">
        <f t="shared" si="1"/>
        <v>0</v>
      </c>
      <c r="H107" s="18" t="s">
        <v>869</v>
      </c>
    </row>
    <row r="108" spans="1:8" ht="15" customHeight="1" x14ac:dyDescent="0.2">
      <c r="A108" s="3">
        <v>22</v>
      </c>
      <c r="B108" s="3" t="s">
        <v>1</v>
      </c>
      <c r="C108" s="8" t="s">
        <v>871</v>
      </c>
      <c r="D108" s="3" t="s">
        <v>7</v>
      </c>
      <c r="F108" s="2" t="b">
        <f t="shared" si="1"/>
        <v>0</v>
      </c>
      <c r="H108" s="18"/>
    </row>
    <row r="109" spans="1:8" ht="15" customHeight="1" x14ac:dyDescent="0.2">
      <c r="A109" s="3">
        <v>22</v>
      </c>
      <c r="B109" s="3" t="s">
        <v>2</v>
      </c>
      <c r="C109" s="8" t="s">
        <v>872</v>
      </c>
      <c r="D109" s="3" t="s">
        <v>7</v>
      </c>
      <c r="F109" s="2" t="b">
        <f t="shared" si="1"/>
        <v>0</v>
      </c>
      <c r="H109" s="18"/>
    </row>
    <row r="110" spans="1:8" ht="15" customHeight="1" x14ac:dyDescent="0.2">
      <c r="A110" s="3">
        <v>22</v>
      </c>
      <c r="B110" s="3" t="s">
        <v>3</v>
      </c>
      <c r="C110" s="8" t="s">
        <v>873</v>
      </c>
      <c r="D110" s="3" t="s">
        <v>8</v>
      </c>
      <c r="F110" s="2" t="b">
        <f t="shared" si="1"/>
        <v>0</v>
      </c>
      <c r="H110" s="18"/>
    </row>
    <row r="111" spans="1:8" ht="36" customHeight="1" x14ac:dyDescent="0.2">
      <c r="A111" s="3">
        <v>23</v>
      </c>
      <c r="B111" s="18" t="s">
        <v>874</v>
      </c>
      <c r="C111" s="18"/>
      <c r="D111" s="18"/>
      <c r="E111" s="18"/>
      <c r="F111" s="18"/>
    </row>
    <row r="112" spans="1:8" ht="15" customHeight="1" x14ac:dyDescent="0.2">
      <c r="A112" s="3">
        <v>23</v>
      </c>
      <c r="B112" s="3" t="s">
        <v>0</v>
      </c>
      <c r="C112" s="8" t="s">
        <v>876</v>
      </c>
      <c r="D112" s="3" t="s">
        <v>7</v>
      </c>
      <c r="F112" s="2" t="b">
        <f t="shared" si="1"/>
        <v>0</v>
      </c>
      <c r="H112" s="18" t="s">
        <v>875</v>
      </c>
    </row>
    <row r="113" spans="1:8" ht="15" customHeight="1" x14ac:dyDescent="0.2">
      <c r="A113" s="3">
        <v>23</v>
      </c>
      <c r="B113" s="3" t="s">
        <v>1</v>
      </c>
      <c r="C113" s="8" t="s">
        <v>16</v>
      </c>
      <c r="D113" s="3" t="s">
        <v>8</v>
      </c>
      <c r="F113" s="2" t="b">
        <f t="shared" si="1"/>
        <v>0</v>
      </c>
      <c r="H113" s="18"/>
    </row>
    <row r="114" spans="1:8" ht="15" customHeight="1" x14ac:dyDescent="0.2">
      <c r="A114" s="3">
        <v>23</v>
      </c>
      <c r="B114" s="3" t="s">
        <v>2</v>
      </c>
      <c r="C114" s="8" t="s">
        <v>39</v>
      </c>
      <c r="D114" s="3" t="s">
        <v>7</v>
      </c>
      <c r="F114" s="2" t="b">
        <f t="shared" si="1"/>
        <v>0</v>
      </c>
      <c r="H114" s="18"/>
    </row>
    <row r="115" spans="1:8" ht="15" customHeight="1" x14ac:dyDescent="0.2">
      <c r="A115" s="3">
        <v>23</v>
      </c>
      <c r="B115" s="3" t="s">
        <v>3</v>
      </c>
      <c r="C115" s="8" t="s">
        <v>15</v>
      </c>
      <c r="D115" s="3" t="s">
        <v>7</v>
      </c>
      <c r="F115" s="2" t="b">
        <f t="shared" si="1"/>
        <v>0</v>
      </c>
      <c r="H115" s="18"/>
    </row>
    <row r="116" spans="1:8" ht="15" customHeight="1" x14ac:dyDescent="0.2">
      <c r="A116" s="3">
        <v>24</v>
      </c>
      <c r="B116" s="18" t="s">
        <v>877</v>
      </c>
      <c r="C116" s="18"/>
      <c r="D116" s="18"/>
      <c r="E116" s="18"/>
      <c r="F116" s="18"/>
    </row>
    <row r="117" spans="1:8" ht="15" customHeight="1" x14ac:dyDescent="0.2">
      <c r="A117" s="3">
        <v>24</v>
      </c>
      <c r="B117" s="3" t="s">
        <v>0</v>
      </c>
      <c r="C117" s="8" t="s">
        <v>879</v>
      </c>
      <c r="D117" s="3" t="s">
        <v>7</v>
      </c>
      <c r="F117" s="2" t="b">
        <f t="shared" si="1"/>
        <v>0</v>
      </c>
      <c r="H117" s="18" t="s">
        <v>878</v>
      </c>
    </row>
    <row r="118" spans="1:8" ht="15" customHeight="1" x14ac:dyDescent="0.2">
      <c r="A118" s="3">
        <v>24</v>
      </c>
      <c r="B118" s="3" t="s">
        <v>1</v>
      </c>
      <c r="C118" s="8" t="s">
        <v>19</v>
      </c>
      <c r="D118" s="3" t="s">
        <v>7</v>
      </c>
      <c r="F118" s="2" t="b">
        <f t="shared" si="1"/>
        <v>0</v>
      </c>
      <c r="H118" s="18"/>
    </row>
    <row r="119" spans="1:8" ht="15" customHeight="1" x14ac:dyDescent="0.2">
      <c r="A119" s="3">
        <v>24</v>
      </c>
      <c r="B119" s="3" t="s">
        <v>2</v>
      </c>
      <c r="C119" s="8" t="s">
        <v>18</v>
      </c>
      <c r="D119" s="3" t="s">
        <v>8</v>
      </c>
      <c r="F119" s="2" t="b">
        <f t="shared" si="1"/>
        <v>0</v>
      </c>
      <c r="H119" s="18"/>
    </row>
    <row r="120" spans="1:8" ht="15" customHeight="1" x14ac:dyDescent="0.2">
      <c r="A120" s="3">
        <v>24</v>
      </c>
      <c r="B120" s="3" t="s">
        <v>3</v>
      </c>
      <c r="C120" s="8" t="s">
        <v>17</v>
      </c>
      <c r="D120" s="3" t="s">
        <v>7</v>
      </c>
      <c r="F120" s="2" t="b">
        <f t="shared" si="1"/>
        <v>0</v>
      </c>
      <c r="H120" s="18"/>
    </row>
    <row r="121" spans="1:8" ht="34.5" customHeight="1" x14ac:dyDescent="0.2">
      <c r="A121" s="3">
        <v>25</v>
      </c>
      <c r="B121" s="18" t="s">
        <v>880</v>
      </c>
      <c r="C121" s="18"/>
      <c r="D121" s="18"/>
      <c r="E121" s="18"/>
      <c r="F121" s="18"/>
    </row>
    <row r="122" spans="1:8" ht="15" customHeight="1" x14ac:dyDescent="0.2">
      <c r="A122" s="3">
        <v>25</v>
      </c>
      <c r="B122" s="3" t="s">
        <v>0</v>
      </c>
      <c r="C122" s="8" t="s">
        <v>672</v>
      </c>
      <c r="D122" s="3" t="s">
        <v>7</v>
      </c>
      <c r="F122" s="2" t="b">
        <f t="shared" si="1"/>
        <v>0</v>
      </c>
      <c r="H122" s="18" t="s">
        <v>881</v>
      </c>
    </row>
    <row r="123" spans="1:8" ht="15" customHeight="1" x14ac:dyDescent="0.2">
      <c r="A123" s="3">
        <v>25</v>
      </c>
      <c r="B123" s="3" t="s">
        <v>1</v>
      </c>
      <c r="C123" s="8" t="s">
        <v>673</v>
      </c>
      <c r="D123" s="3" t="s">
        <v>7</v>
      </c>
      <c r="F123" s="2" t="b">
        <f t="shared" si="1"/>
        <v>0</v>
      </c>
      <c r="H123" s="18"/>
    </row>
    <row r="124" spans="1:8" ht="15" customHeight="1" x14ac:dyDescent="0.2">
      <c r="A124" s="3">
        <v>25</v>
      </c>
      <c r="B124" s="3" t="s">
        <v>2</v>
      </c>
      <c r="C124" s="8" t="s">
        <v>882</v>
      </c>
      <c r="D124" s="3" t="s">
        <v>8</v>
      </c>
      <c r="F124" s="2" t="b">
        <f t="shared" si="1"/>
        <v>0</v>
      </c>
      <c r="H124" s="18"/>
    </row>
    <row r="125" spans="1:8" ht="15" customHeight="1" x14ac:dyDescent="0.2">
      <c r="A125" s="3">
        <v>25</v>
      </c>
      <c r="B125" s="3" t="s">
        <v>3</v>
      </c>
      <c r="C125" s="8" t="s">
        <v>407</v>
      </c>
      <c r="D125" s="3" t="s">
        <v>7</v>
      </c>
      <c r="F125" s="2" t="b">
        <f t="shared" si="1"/>
        <v>0</v>
      </c>
      <c r="H125" s="18"/>
    </row>
    <row r="126" spans="1:8" ht="31.5" customHeight="1" x14ac:dyDescent="0.2">
      <c r="A126" s="3">
        <v>26</v>
      </c>
      <c r="B126" s="18" t="s">
        <v>883</v>
      </c>
      <c r="C126" s="18"/>
      <c r="D126" s="18"/>
      <c r="E126" s="18"/>
      <c r="F126" s="18"/>
    </row>
    <row r="127" spans="1:8" ht="15" customHeight="1" x14ac:dyDescent="0.2">
      <c r="A127" s="3">
        <v>26</v>
      </c>
      <c r="B127" s="3" t="s">
        <v>0</v>
      </c>
      <c r="C127" s="8" t="s">
        <v>885</v>
      </c>
      <c r="D127" s="3" t="s">
        <v>8</v>
      </c>
      <c r="F127" s="2" t="b">
        <f t="shared" si="1"/>
        <v>0</v>
      </c>
      <c r="H127" s="18" t="s">
        <v>884</v>
      </c>
    </row>
    <row r="128" spans="1:8" ht="15" customHeight="1" x14ac:dyDescent="0.2">
      <c r="A128" s="3">
        <v>26</v>
      </c>
      <c r="B128" s="3" t="s">
        <v>1</v>
      </c>
      <c r="C128" s="8" t="s">
        <v>886</v>
      </c>
      <c r="D128" s="3" t="s">
        <v>7</v>
      </c>
      <c r="F128" s="2" t="b">
        <f t="shared" si="1"/>
        <v>0</v>
      </c>
      <c r="H128" s="18"/>
    </row>
    <row r="129" spans="1:8" ht="15" customHeight="1" x14ac:dyDescent="0.2">
      <c r="A129" s="3">
        <v>26</v>
      </c>
      <c r="B129" s="3" t="s">
        <v>2</v>
      </c>
      <c r="C129" s="8" t="s">
        <v>887</v>
      </c>
      <c r="D129" s="3" t="s">
        <v>7</v>
      </c>
      <c r="F129" s="2" t="b">
        <f t="shared" si="1"/>
        <v>0</v>
      </c>
      <c r="H129" s="18"/>
    </row>
    <row r="130" spans="1:8" ht="15" customHeight="1" x14ac:dyDescent="0.2">
      <c r="A130" s="3">
        <v>26</v>
      </c>
      <c r="B130" s="3" t="s">
        <v>3</v>
      </c>
      <c r="C130" s="8" t="s">
        <v>888</v>
      </c>
      <c r="D130" s="3" t="s">
        <v>7</v>
      </c>
      <c r="F130" s="2" t="b">
        <f t="shared" si="1"/>
        <v>0</v>
      </c>
      <c r="H130" s="18"/>
    </row>
    <row r="131" spans="1:8" ht="15" customHeight="1" x14ac:dyDescent="0.2">
      <c r="A131" s="3">
        <v>27</v>
      </c>
      <c r="B131" s="19" t="s">
        <v>889</v>
      </c>
      <c r="C131" s="19"/>
      <c r="D131" s="19"/>
      <c r="E131" s="19"/>
      <c r="F131" s="19"/>
    </row>
    <row r="132" spans="1:8" ht="15" customHeight="1" x14ac:dyDescent="0.2">
      <c r="A132" s="3">
        <v>27</v>
      </c>
      <c r="B132" s="3" t="s">
        <v>0</v>
      </c>
      <c r="C132" s="8" t="s">
        <v>891</v>
      </c>
      <c r="D132" s="3" t="s">
        <v>8</v>
      </c>
      <c r="F132" s="2" t="b">
        <f t="shared" ref="F132:F194" si="2">D132=E132</f>
        <v>0</v>
      </c>
      <c r="H132" s="18" t="s">
        <v>890</v>
      </c>
    </row>
    <row r="133" spans="1:8" ht="15" customHeight="1" x14ac:dyDescent="0.2">
      <c r="A133" s="3">
        <v>27</v>
      </c>
      <c r="B133" s="3" t="s">
        <v>1</v>
      </c>
      <c r="C133" s="8" t="s">
        <v>892</v>
      </c>
      <c r="D133" s="3" t="s">
        <v>7</v>
      </c>
      <c r="F133" s="2" t="b">
        <f t="shared" si="2"/>
        <v>0</v>
      </c>
      <c r="H133" s="18"/>
    </row>
    <row r="134" spans="1:8" ht="15" customHeight="1" x14ac:dyDescent="0.2">
      <c r="A134" s="3">
        <v>27</v>
      </c>
      <c r="B134" s="3" t="s">
        <v>2</v>
      </c>
      <c r="C134" s="8" t="s">
        <v>893</v>
      </c>
      <c r="D134" s="3" t="s">
        <v>7</v>
      </c>
      <c r="F134" s="2" t="b">
        <f t="shared" si="2"/>
        <v>0</v>
      </c>
      <c r="H134" s="18"/>
    </row>
    <row r="135" spans="1:8" ht="15" customHeight="1" x14ac:dyDescent="0.2">
      <c r="A135" s="3">
        <v>27</v>
      </c>
      <c r="B135" s="3" t="s">
        <v>3</v>
      </c>
      <c r="C135" s="8" t="s">
        <v>894</v>
      </c>
      <c r="D135" s="3" t="s">
        <v>7</v>
      </c>
      <c r="F135" s="2" t="b">
        <f t="shared" si="2"/>
        <v>0</v>
      </c>
      <c r="H135" s="18"/>
    </row>
    <row r="136" spans="1:8" ht="33" customHeight="1" x14ac:dyDescent="0.2">
      <c r="A136" s="3">
        <v>28</v>
      </c>
      <c r="B136" s="18" t="s">
        <v>895</v>
      </c>
      <c r="C136" s="18"/>
      <c r="D136" s="18"/>
      <c r="E136" s="18"/>
      <c r="F136" s="18"/>
    </row>
    <row r="137" spans="1:8" ht="15" customHeight="1" x14ac:dyDescent="0.2">
      <c r="A137" s="3">
        <v>28</v>
      </c>
      <c r="B137" s="3" t="s">
        <v>0</v>
      </c>
      <c r="C137" s="8" t="s">
        <v>897</v>
      </c>
      <c r="D137" s="3" t="s">
        <v>8</v>
      </c>
      <c r="F137" s="2" t="b">
        <f t="shared" si="2"/>
        <v>0</v>
      </c>
      <c r="H137" s="19" t="s">
        <v>896</v>
      </c>
    </row>
    <row r="138" spans="1:8" ht="15" customHeight="1" x14ac:dyDescent="0.2">
      <c r="A138" s="3">
        <v>28</v>
      </c>
      <c r="B138" s="3" t="s">
        <v>1</v>
      </c>
      <c r="C138" s="8" t="s">
        <v>898</v>
      </c>
      <c r="D138" s="3" t="s">
        <v>7</v>
      </c>
      <c r="F138" s="2" t="b">
        <f t="shared" si="2"/>
        <v>0</v>
      </c>
      <c r="H138" s="19"/>
    </row>
    <row r="139" spans="1:8" ht="15" customHeight="1" x14ac:dyDescent="0.2">
      <c r="A139" s="3">
        <v>28</v>
      </c>
      <c r="B139" s="3" t="s">
        <v>2</v>
      </c>
      <c r="C139" s="8" t="s">
        <v>899</v>
      </c>
      <c r="D139" s="3" t="s">
        <v>7</v>
      </c>
      <c r="F139" s="2" t="b">
        <f t="shared" si="2"/>
        <v>0</v>
      </c>
      <c r="H139" s="19"/>
    </row>
    <row r="140" spans="1:8" ht="15" customHeight="1" x14ac:dyDescent="0.2">
      <c r="A140" s="3">
        <v>28</v>
      </c>
      <c r="B140" s="3" t="s">
        <v>3</v>
      </c>
      <c r="C140" s="8" t="s">
        <v>900</v>
      </c>
      <c r="D140" s="3" t="s">
        <v>7</v>
      </c>
      <c r="F140" s="2" t="b">
        <f t="shared" si="2"/>
        <v>0</v>
      </c>
      <c r="H140" s="19"/>
    </row>
    <row r="141" spans="1:8" ht="15" customHeight="1" x14ac:dyDescent="0.2">
      <c r="A141" s="3">
        <v>29</v>
      </c>
      <c r="B141" s="19" t="s">
        <v>901</v>
      </c>
      <c r="C141" s="19"/>
      <c r="D141" s="19"/>
      <c r="E141" s="19"/>
      <c r="F141" s="19"/>
    </row>
    <row r="142" spans="1:8" ht="15" customHeight="1" x14ac:dyDescent="0.2">
      <c r="A142" s="3">
        <v>29</v>
      </c>
      <c r="B142" s="3" t="s">
        <v>0</v>
      </c>
      <c r="C142" s="8">
        <v>100</v>
      </c>
      <c r="D142" s="3" t="s">
        <v>7</v>
      </c>
      <c r="F142" s="2" t="b">
        <f t="shared" si="2"/>
        <v>0</v>
      </c>
      <c r="H142" s="18" t="s">
        <v>902</v>
      </c>
    </row>
    <row r="143" spans="1:8" ht="15" customHeight="1" x14ac:dyDescent="0.2">
      <c r="A143" s="3">
        <v>29</v>
      </c>
      <c r="B143" s="3" t="s">
        <v>1</v>
      </c>
      <c r="C143" s="8">
        <v>10</v>
      </c>
      <c r="D143" s="3" t="s">
        <v>7</v>
      </c>
      <c r="F143" s="2" t="b">
        <f t="shared" si="2"/>
        <v>0</v>
      </c>
      <c r="H143" s="18"/>
    </row>
    <row r="144" spans="1:8" ht="15" customHeight="1" x14ac:dyDescent="0.2">
      <c r="A144" s="3">
        <v>29</v>
      </c>
      <c r="B144" s="3" t="s">
        <v>2</v>
      </c>
      <c r="C144" s="8">
        <v>5</v>
      </c>
      <c r="D144" s="3" t="s">
        <v>7</v>
      </c>
      <c r="F144" s="2" t="b">
        <f t="shared" si="2"/>
        <v>0</v>
      </c>
      <c r="H144" s="18"/>
    </row>
    <row r="145" spans="1:8" ht="15" customHeight="1" x14ac:dyDescent="0.2">
      <c r="A145" s="3">
        <v>29</v>
      </c>
      <c r="B145" s="3" t="s">
        <v>3</v>
      </c>
      <c r="C145" s="8">
        <v>20</v>
      </c>
      <c r="D145" s="3" t="s">
        <v>8</v>
      </c>
      <c r="F145" s="2" t="b">
        <f t="shared" si="2"/>
        <v>0</v>
      </c>
      <c r="H145" s="18"/>
    </row>
    <row r="146" spans="1:8" ht="15" customHeight="1" x14ac:dyDescent="0.2">
      <c r="A146" s="3">
        <v>30</v>
      </c>
      <c r="B146" s="19" t="s">
        <v>903</v>
      </c>
      <c r="C146" s="19"/>
      <c r="D146" s="19"/>
      <c r="E146" s="19"/>
      <c r="F146" s="19"/>
    </row>
    <row r="147" spans="1:8" ht="15" customHeight="1" x14ac:dyDescent="0.2">
      <c r="A147" s="3">
        <v>30</v>
      </c>
      <c r="B147" s="3" t="s">
        <v>0</v>
      </c>
      <c r="C147" s="8" t="s">
        <v>905</v>
      </c>
      <c r="D147" s="3" t="s">
        <v>7</v>
      </c>
      <c r="F147" s="2" t="b">
        <f t="shared" si="2"/>
        <v>0</v>
      </c>
      <c r="H147" s="18" t="s">
        <v>904</v>
      </c>
    </row>
    <row r="148" spans="1:8" ht="15" customHeight="1" x14ac:dyDescent="0.2">
      <c r="A148" s="3">
        <v>30</v>
      </c>
      <c r="B148" s="3" t="s">
        <v>1</v>
      </c>
      <c r="C148" s="8" t="s">
        <v>906</v>
      </c>
      <c r="D148" s="3" t="s">
        <v>8</v>
      </c>
      <c r="F148" s="2" t="b">
        <f t="shared" si="2"/>
        <v>0</v>
      </c>
      <c r="H148" s="18"/>
    </row>
    <row r="149" spans="1:8" ht="15" customHeight="1" x14ac:dyDescent="0.2">
      <c r="A149" s="3">
        <v>30</v>
      </c>
      <c r="B149" s="3" t="s">
        <v>2</v>
      </c>
      <c r="C149" s="8" t="s">
        <v>907</v>
      </c>
      <c r="D149" s="3" t="s">
        <v>7</v>
      </c>
      <c r="F149" s="2" t="b">
        <f t="shared" si="2"/>
        <v>0</v>
      </c>
      <c r="H149" s="18"/>
    </row>
    <row r="150" spans="1:8" ht="15" customHeight="1" x14ac:dyDescent="0.2">
      <c r="A150" s="3">
        <v>30</v>
      </c>
      <c r="B150" s="3" t="s">
        <v>3</v>
      </c>
      <c r="C150" s="8" t="s">
        <v>908</v>
      </c>
      <c r="D150" s="3" t="s">
        <v>8</v>
      </c>
      <c r="F150" s="2" t="b">
        <f t="shared" si="2"/>
        <v>0</v>
      </c>
      <c r="H150" s="18"/>
    </row>
    <row r="151" spans="1:8" ht="85.5" customHeight="1" x14ac:dyDescent="0.2">
      <c r="A151" s="3">
        <v>31</v>
      </c>
      <c r="B151" s="18" t="s">
        <v>909</v>
      </c>
      <c r="C151" s="18"/>
      <c r="D151" s="18"/>
      <c r="E151" s="18"/>
      <c r="F151" s="18"/>
    </row>
    <row r="152" spans="1:8" ht="15" customHeight="1" x14ac:dyDescent="0.2">
      <c r="A152" s="3">
        <v>31</v>
      </c>
      <c r="B152" s="3" t="s">
        <v>0</v>
      </c>
      <c r="C152" s="8" t="s">
        <v>911</v>
      </c>
      <c r="D152" s="3" t="s">
        <v>8</v>
      </c>
      <c r="F152" s="2" t="b">
        <f t="shared" si="2"/>
        <v>0</v>
      </c>
      <c r="H152" s="18" t="s">
        <v>910</v>
      </c>
    </row>
    <row r="153" spans="1:8" ht="15" customHeight="1" x14ac:dyDescent="0.2">
      <c r="A153" s="3">
        <v>31</v>
      </c>
      <c r="B153" s="3" t="s">
        <v>1</v>
      </c>
      <c r="C153" s="8" t="s">
        <v>912</v>
      </c>
      <c r="D153" s="3" t="s">
        <v>7</v>
      </c>
      <c r="F153" s="2" t="b">
        <f t="shared" si="2"/>
        <v>0</v>
      </c>
      <c r="H153" s="18"/>
    </row>
    <row r="154" spans="1:8" ht="15" customHeight="1" x14ac:dyDescent="0.2">
      <c r="A154" s="3">
        <v>31</v>
      </c>
      <c r="B154" s="3" t="s">
        <v>2</v>
      </c>
      <c r="C154" s="8" t="s">
        <v>913</v>
      </c>
      <c r="D154" s="3" t="s">
        <v>7</v>
      </c>
      <c r="F154" s="2" t="b">
        <f t="shared" si="2"/>
        <v>0</v>
      </c>
      <c r="H154" s="18"/>
    </row>
    <row r="155" spans="1:8" ht="15" customHeight="1" x14ac:dyDescent="0.2">
      <c r="A155" s="3">
        <v>31</v>
      </c>
      <c r="B155" s="3" t="s">
        <v>3</v>
      </c>
      <c r="C155" s="8" t="s">
        <v>914</v>
      </c>
      <c r="D155" s="3" t="s">
        <v>7</v>
      </c>
      <c r="F155" s="2" t="b">
        <f t="shared" si="2"/>
        <v>0</v>
      </c>
      <c r="H155" s="18"/>
    </row>
    <row r="156" spans="1:8" ht="37.5" customHeight="1" x14ac:dyDescent="0.2">
      <c r="A156" s="3">
        <v>32</v>
      </c>
      <c r="B156" s="18" t="s">
        <v>915</v>
      </c>
      <c r="C156" s="18"/>
      <c r="D156" s="18"/>
      <c r="E156" s="18"/>
      <c r="F156" s="18"/>
    </row>
    <row r="157" spans="1:8" ht="15" customHeight="1" x14ac:dyDescent="0.2">
      <c r="A157" s="3">
        <v>32</v>
      </c>
      <c r="B157" s="3" t="s">
        <v>0</v>
      </c>
      <c r="C157" s="8" t="s">
        <v>535</v>
      </c>
      <c r="D157" s="3" t="s">
        <v>8</v>
      </c>
      <c r="F157" s="2" t="b">
        <f t="shared" si="2"/>
        <v>0</v>
      </c>
      <c r="H157" s="18" t="s">
        <v>916</v>
      </c>
    </row>
    <row r="158" spans="1:8" ht="15" customHeight="1" x14ac:dyDescent="0.2">
      <c r="A158" s="3">
        <v>32</v>
      </c>
      <c r="B158" s="3" t="s">
        <v>1</v>
      </c>
      <c r="C158" s="8" t="s">
        <v>917</v>
      </c>
      <c r="D158" s="3" t="s">
        <v>7</v>
      </c>
      <c r="F158" s="2" t="b">
        <f t="shared" si="2"/>
        <v>0</v>
      </c>
      <c r="H158" s="18"/>
    </row>
    <row r="159" spans="1:8" ht="15" customHeight="1" x14ac:dyDescent="0.2">
      <c r="A159" s="3">
        <v>32</v>
      </c>
      <c r="B159" s="3" t="s">
        <v>2</v>
      </c>
      <c r="C159" s="8" t="s">
        <v>833</v>
      </c>
      <c r="D159" s="3" t="s">
        <v>7</v>
      </c>
      <c r="F159" s="2" t="b">
        <f t="shared" si="2"/>
        <v>0</v>
      </c>
      <c r="H159" s="18"/>
    </row>
    <row r="160" spans="1:8" ht="15" customHeight="1" x14ac:dyDescent="0.2">
      <c r="A160" s="3">
        <v>32</v>
      </c>
      <c r="B160" s="3" t="s">
        <v>3</v>
      </c>
      <c r="C160" s="8" t="s">
        <v>33</v>
      </c>
      <c r="D160" s="3" t="s">
        <v>7</v>
      </c>
      <c r="F160" s="2" t="b">
        <f t="shared" si="2"/>
        <v>0</v>
      </c>
      <c r="H160" s="18"/>
    </row>
    <row r="161" spans="1:8" ht="15" customHeight="1" x14ac:dyDescent="0.2">
      <c r="A161" s="3">
        <v>33</v>
      </c>
      <c r="B161" s="19" t="s">
        <v>918</v>
      </c>
      <c r="C161" s="19"/>
      <c r="D161" s="19"/>
      <c r="E161" s="19"/>
      <c r="F161" s="19"/>
    </row>
    <row r="162" spans="1:8" ht="15" customHeight="1" x14ac:dyDescent="0.2">
      <c r="A162" s="3">
        <v>33</v>
      </c>
      <c r="B162" s="3" t="s">
        <v>0</v>
      </c>
      <c r="C162" s="8" t="b">
        <v>0</v>
      </c>
      <c r="D162" s="3" t="s">
        <v>7</v>
      </c>
      <c r="F162" s="2" t="b">
        <f t="shared" si="2"/>
        <v>0</v>
      </c>
      <c r="H162" s="18" t="s">
        <v>919</v>
      </c>
    </row>
    <row r="163" spans="1:8" ht="15" customHeight="1" x14ac:dyDescent="0.2">
      <c r="A163" s="3">
        <v>33</v>
      </c>
      <c r="B163" s="3" t="s">
        <v>1</v>
      </c>
      <c r="C163" s="8" t="b">
        <v>1</v>
      </c>
      <c r="D163" s="3" t="s">
        <v>8</v>
      </c>
      <c r="F163" s="2" t="b">
        <f t="shared" si="2"/>
        <v>0</v>
      </c>
      <c r="H163" s="18"/>
    </row>
    <row r="164" spans="1:8" ht="15" customHeight="1" x14ac:dyDescent="0.2">
      <c r="A164" s="3">
        <v>34</v>
      </c>
      <c r="B164" s="19" t="s">
        <v>920</v>
      </c>
      <c r="C164" s="19"/>
      <c r="D164" s="19"/>
      <c r="E164" s="19"/>
      <c r="F164" s="19"/>
    </row>
    <row r="165" spans="1:8" ht="15" customHeight="1" x14ac:dyDescent="0.2">
      <c r="A165" s="3">
        <v>34</v>
      </c>
      <c r="B165" s="3" t="s">
        <v>0</v>
      </c>
      <c r="C165" s="8" t="s">
        <v>922</v>
      </c>
      <c r="D165" s="3" t="s">
        <v>7</v>
      </c>
      <c r="F165" s="2" t="b">
        <f t="shared" si="2"/>
        <v>0</v>
      </c>
      <c r="H165" s="18" t="s">
        <v>921</v>
      </c>
    </row>
    <row r="166" spans="1:8" ht="15" customHeight="1" x14ac:dyDescent="0.2">
      <c r="A166" s="3">
        <v>34</v>
      </c>
      <c r="B166" s="3" t="s">
        <v>1</v>
      </c>
      <c r="C166" s="8" t="s">
        <v>923</v>
      </c>
      <c r="D166" s="3" t="s">
        <v>8</v>
      </c>
      <c r="F166" s="2" t="b">
        <f t="shared" si="2"/>
        <v>0</v>
      </c>
      <c r="H166" s="18"/>
    </row>
    <row r="167" spans="1:8" ht="15" customHeight="1" x14ac:dyDescent="0.2">
      <c r="A167" s="3">
        <v>34</v>
      </c>
      <c r="B167" s="3" t="s">
        <v>2</v>
      </c>
      <c r="C167" s="8" t="s">
        <v>924</v>
      </c>
      <c r="D167" s="3" t="s">
        <v>7</v>
      </c>
      <c r="F167" s="2" t="b">
        <f t="shared" si="2"/>
        <v>0</v>
      </c>
      <c r="H167" s="18"/>
    </row>
    <row r="168" spans="1:8" ht="15" customHeight="1" x14ac:dyDescent="0.2">
      <c r="A168" s="3">
        <v>34</v>
      </c>
      <c r="B168" s="3" t="s">
        <v>3</v>
      </c>
      <c r="C168" s="8" t="s">
        <v>925</v>
      </c>
      <c r="D168" s="3" t="s">
        <v>7</v>
      </c>
      <c r="F168" s="2" t="b">
        <f t="shared" si="2"/>
        <v>0</v>
      </c>
      <c r="H168" s="18"/>
    </row>
    <row r="169" spans="1:8" ht="66.75" customHeight="1" x14ac:dyDescent="0.2">
      <c r="A169" s="3">
        <v>35</v>
      </c>
      <c r="B169" s="18" t="s">
        <v>926</v>
      </c>
      <c r="C169" s="18"/>
      <c r="D169" s="18"/>
      <c r="E169" s="18"/>
      <c r="F169" s="18"/>
    </row>
    <row r="170" spans="1:8" ht="15" customHeight="1" x14ac:dyDescent="0.2">
      <c r="A170" s="3">
        <v>35</v>
      </c>
      <c r="B170" s="3" t="s">
        <v>0</v>
      </c>
      <c r="C170" s="8" t="s">
        <v>928</v>
      </c>
      <c r="D170" s="3" t="s">
        <v>7</v>
      </c>
      <c r="F170" s="2" t="b">
        <f t="shared" si="2"/>
        <v>0</v>
      </c>
      <c r="H170" s="18" t="s">
        <v>927</v>
      </c>
    </row>
    <row r="171" spans="1:8" ht="15" customHeight="1" x14ac:dyDescent="0.2">
      <c r="A171" s="3">
        <v>35</v>
      </c>
      <c r="B171" s="3" t="s">
        <v>1</v>
      </c>
      <c r="C171" s="8" t="s">
        <v>929</v>
      </c>
      <c r="D171" s="3" t="s">
        <v>8</v>
      </c>
      <c r="F171" s="2" t="b">
        <f t="shared" si="2"/>
        <v>0</v>
      </c>
      <c r="H171" s="18"/>
    </row>
    <row r="172" spans="1:8" ht="15" customHeight="1" x14ac:dyDescent="0.2">
      <c r="A172" s="3">
        <v>35</v>
      </c>
      <c r="B172" s="3" t="s">
        <v>2</v>
      </c>
      <c r="C172" s="8" t="s">
        <v>930</v>
      </c>
      <c r="D172" s="3" t="s">
        <v>7</v>
      </c>
      <c r="F172" s="2" t="b">
        <f t="shared" si="2"/>
        <v>0</v>
      </c>
      <c r="H172" s="18"/>
    </row>
    <row r="173" spans="1:8" ht="15" customHeight="1" x14ac:dyDescent="0.2">
      <c r="A173" s="3">
        <v>35</v>
      </c>
      <c r="B173" s="3" t="s">
        <v>3</v>
      </c>
      <c r="C173" s="8" t="s">
        <v>931</v>
      </c>
      <c r="D173" s="3" t="s">
        <v>7</v>
      </c>
      <c r="F173" s="2" t="b">
        <f t="shared" si="2"/>
        <v>0</v>
      </c>
      <c r="H173" s="18"/>
    </row>
    <row r="174" spans="1:8" ht="40.5" customHeight="1" x14ac:dyDescent="0.2">
      <c r="A174" s="3">
        <v>36</v>
      </c>
      <c r="B174" s="18" t="s">
        <v>932</v>
      </c>
      <c r="C174" s="18"/>
      <c r="D174" s="18"/>
      <c r="E174" s="18"/>
      <c r="F174" s="18"/>
    </row>
    <row r="175" spans="1:8" ht="15" customHeight="1" x14ac:dyDescent="0.2">
      <c r="A175" s="3">
        <v>36</v>
      </c>
      <c r="B175" s="3" t="s">
        <v>0</v>
      </c>
      <c r="C175" s="8" t="s">
        <v>934</v>
      </c>
      <c r="D175" s="3" t="s">
        <v>7</v>
      </c>
      <c r="F175" s="2" t="b">
        <f t="shared" si="2"/>
        <v>0</v>
      </c>
      <c r="H175" s="18" t="s">
        <v>933</v>
      </c>
    </row>
    <row r="176" spans="1:8" ht="15" customHeight="1" x14ac:dyDescent="0.2">
      <c r="A176" s="3">
        <v>36</v>
      </c>
      <c r="B176" s="3" t="s">
        <v>1</v>
      </c>
      <c r="C176" s="8" t="s">
        <v>935</v>
      </c>
      <c r="D176" s="3" t="s">
        <v>7</v>
      </c>
      <c r="F176" s="2" t="b">
        <f t="shared" si="2"/>
        <v>0</v>
      </c>
      <c r="H176" s="18"/>
    </row>
    <row r="177" spans="1:8" ht="15" customHeight="1" x14ac:dyDescent="0.2">
      <c r="A177" s="3">
        <v>36</v>
      </c>
      <c r="B177" s="3" t="s">
        <v>2</v>
      </c>
      <c r="C177" s="8" t="s">
        <v>936</v>
      </c>
      <c r="D177" s="3" t="s">
        <v>7</v>
      </c>
      <c r="F177" s="2" t="b">
        <f t="shared" si="2"/>
        <v>0</v>
      </c>
      <c r="H177" s="18"/>
    </row>
    <row r="178" spans="1:8" ht="15" customHeight="1" x14ac:dyDescent="0.2">
      <c r="A178" s="3">
        <v>36</v>
      </c>
      <c r="B178" s="3" t="s">
        <v>3</v>
      </c>
      <c r="C178" s="8" t="s">
        <v>937</v>
      </c>
      <c r="D178" s="3" t="s">
        <v>8</v>
      </c>
      <c r="F178" s="2" t="b">
        <f t="shared" si="2"/>
        <v>0</v>
      </c>
      <c r="H178" s="18"/>
    </row>
    <row r="179" spans="1:8" ht="15" customHeight="1" x14ac:dyDescent="0.2">
      <c r="A179" s="3">
        <v>37</v>
      </c>
      <c r="B179" s="19" t="s">
        <v>938</v>
      </c>
      <c r="C179" s="19"/>
      <c r="D179" s="19"/>
      <c r="E179" s="19"/>
      <c r="F179" s="19"/>
    </row>
    <row r="180" spans="1:8" ht="15" customHeight="1" x14ac:dyDescent="0.2">
      <c r="A180" s="3">
        <v>37</v>
      </c>
      <c r="B180" s="3" t="s">
        <v>0</v>
      </c>
      <c r="C180" s="8" t="s">
        <v>940</v>
      </c>
      <c r="D180" s="3" t="s">
        <v>8</v>
      </c>
      <c r="F180" s="2" t="b">
        <f t="shared" si="2"/>
        <v>0</v>
      </c>
      <c r="H180" s="18" t="s">
        <v>939</v>
      </c>
    </row>
    <row r="181" spans="1:8" ht="15" customHeight="1" x14ac:dyDescent="0.2">
      <c r="A181" s="3">
        <v>37</v>
      </c>
      <c r="B181" s="3" t="s">
        <v>1</v>
      </c>
      <c r="C181" s="8" t="s">
        <v>941</v>
      </c>
      <c r="D181" s="3" t="s">
        <v>8</v>
      </c>
      <c r="F181" s="2" t="b">
        <f t="shared" si="2"/>
        <v>0</v>
      </c>
      <c r="H181" s="18"/>
    </row>
    <row r="182" spans="1:8" ht="15" customHeight="1" x14ac:dyDescent="0.2">
      <c r="A182" s="3">
        <v>37</v>
      </c>
      <c r="B182" s="3" t="s">
        <v>2</v>
      </c>
      <c r="C182" s="8" t="s">
        <v>942</v>
      </c>
      <c r="D182" s="3" t="s">
        <v>7</v>
      </c>
      <c r="F182" s="2" t="b">
        <f t="shared" si="2"/>
        <v>0</v>
      </c>
      <c r="H182" s="18"/>
    </row>
    <row r="183" spans="1:8" ht="15" customHeight="1" x14ac:dyDescent="0.2">
      <c r="A183" s="3">
        <v>37</v>
      </c>
      <c r="B183" s="3" t="s">
        <v>3</v>
      </c>
      <c r="C183" s="8" t="s">
        <v>943</v>
      </c>
      <c r="D183" s="3" t="s">
        <v>8</v>
      </c>
      <c r="F183" s="2" t="b">
        <f t="shared" si="2"/>
        <v>0</v>
      </c>
      <c r="H183" s="18"/>
    </row>
    <row r="184" spans="1:8" ht="15" customHeight="1" x14ac:dyDescent="0.2">
      <c r="A184" s="3">
        <v>37</v>
      </c>
      <c r="B184" s="3" t="s">
        <v>6</v>
      </c>
      <c r="C184" s="8" t="s">
        <v>944</v>
      </c>
      <c r="D184" s="3" t="s">
        <v>7</v>
      </c>
      <c r="F184" s="2" t="b">
        <f t="shared" si="2"/>
        <v>0</v>
      </c>
      <c r="H184" s="18"/>
    </row>
    <row r="185" spans="1:8" ht="36" customHeight="1" x14ac:dyDescent="0.2">
      <c r="A185" s="3">
        <v>38</v>
      </c>
      <c r="B185" s="18" t="s">
        <v>945</v>
      </c>
      <c r="C185" s="18"/>
      <c r="D185" s="18"/>
      <c r="E185" s="18"/>
      <c r="F185" s="18"/>
    </row>
    <row r="186" spans="1:8" ht="15" customHeight="1" x14ac:dyDescent="0.2">
      <c r="A186" s="3">
        <v>38</v>
      </c>
      <c r="B186" s="3" t="s">
        <v>0</v>
      </c>
      <c r="C186" s="8" t="s">
        <v>947</v>
      </c>
      <c r="D186" s="3" t="s">
        <v>7</v>
      </c>
      <c r="F186" s="2" t="b">
        <f t="shared" si="2"/>
        <v>0</v>
      </c>
      <c r="H186" s="18" t="s">
        <v>946</v>
      </c>
    </row>
    <row r="187" spans="1:8" ht="15" customHeight="1" x14ac:dyDescent="0.2">
      <c r="A187" s="3">
        <v>38</v>
      </c>
      <c r="B187" s="3" t="s">
        <v>1</v>
      </c>
      <c r="C187" s="8" t="s">
        <v>948</v>
      </c>
      <c r="D187" s="3" t="s">
        <v>8</v>
      </c>
      <c r="F187" s="2" t="b">
        <f t="shared" si="2"/>
        <v>0</v>
      </c>
      <c r="H187" s="18"/>
    </row>
    <row r="188" spans="1:8" ht="15" customHeight="1" x14ac:dyDescent="0.2">
      <c r="A188" s="3">
        <v>38</v>
      </c>
      <c r="B188" s="3" t="s">
        <v>2</v>
      </c>
      <c r="C188" s="8" t="s">
        <v>949</v>
      </c>
      <c r="D188" s="3" t="s">
        <v>7</v>
      </c>
      <c r="F188" s="2" t="b">
        <f t="shared" si="2"/>
        <v>0</v>
      </c>
      <c r="H188" s="18"/>
    </row>
    <row r="189" spans="1:8" ht="15" customHeight="1" x14ac:dyDescent="0.2">
      <c r="A189" s="3">
        <v>38</v>
      </c>
      <c r="B189" s="3" t="s">
        <v>3</v>
      </c>
      <c r="C189" s="8" t="s">
        <v>950</v>
      </c>
      <c r="D189" s="3" t="s">
        <v>7</v>
      </c>
      <c r="F189" s="2" t="b">
        <f t="shared" si="2"/>
        <v>0</v>
      </c>
      <c r="H189" s="18"/>
    </row>
    <row r="190" spans="1:8" ht="24.75" customHeight="1" x14ac:dyDescent="0.2">
      <c r="A190" s="3">
        <v>39</v>
      </c>
      <c r="B190" s="18" t="s">
        <v>951</v>
      </c>
      <c r="C190" s="18"/>
      <c r="D190" s="18"/>
      <c r="E190" s="18"/>
      <c r="F190" s="18"/>
    </row>
    <row r="191" spans="1:8" ht="15" customHeight="1" x14ac:dyDescent="0.2">
      <c r="A191" s="3">
        <v>39</v>
      </c>
      <c r="B191" s="3" t="s">
        <v>0</v>
      </c>
      <c r="C191" s="8" t="s">
        <v>953</v>
      </c>
      <c r="D191" s="3" t="s">
        <v>7</v>
      </c>
      <c r="F191" s="2" t="b">
        <f t="shared" si="2"/>
        <v>0</v>
      </c>
      <c r="H191" s="18" t="s">
        <v>952</v>
      </c>
    </row>
    <row r="192" spans="1:8" ht="15" customHeight="1" x14ac:dyDescent="0.2">
      <c r="A192" s="3">
        <v>39</v>
      </c>
      <c r="B192" s="3" t="s">
        <v>1</v>
      </c>
      <c r="C192" s="8" t="s">
        <v>14</v>
      </c>
      <c r="D192" s="3" t="s">
        <v>7</v>
      </c>
      <c r="F192" s="2" t="b">
        <f t="shared" si="2"/>
        <v>0</v>
      </c>
      <c r="H192" s="18"/>
    </row>
    <row r="193" spans="1:8" ht="15" customHeight="1" x14ac:dyDescent="0.2">
      <c r="A193" s="3">
        <v>39</v>
      </c>
      <c r="B193" s="3" t="s">
        <v>2</v>
      </c>
      <c r="C193" s="8" t="s">
        <v>483</v>
      </c>
      <c r="D193" s="3" t="s">
        <v>7</v>
      </c>
      <c r="F193" s="2" t="b">
        <f t="shared" si="2"/>
        <v>0</v>
      </c>
      <c r="H193" s="18"/>
    </row>
    <row r="194" spans="1:8" ht="15" customHeight="1" x14ac:dyDescent="0.2">
      <c r="A194" s="3">
        <v>39</v>
      </c>
      <c r="B194" s="3" t="s">
        <v>3</v>
      </c>
      <c r="C194" s="8" t="s">
        <v>954</v>
      </c>
      <c r="D194" s="3" t="s">
        <v>8</v>
      </c>
      <c r="F194" s="2" t="b">
        <f t="shared" si="2"/>
        <v>0</v>
      </c>
      <c r="H194" s="18"/>
    </row>
    <row r="195" spans="1:8" ht="15" customHeight="1" x14ac:dyDescent="0.2">
      <c r="A195" s="3">
        <v>40</v>
      </c>
      <c r="B195" s="19" t="s">
        <v>955</v>
      </c>
      <c r="C195" s="19"/>
      <c r="D195" s="19"/>
      <c r="E195" s="19"/>
      <c r="F195" s="19"/>
    </row>
    <row r="196" spans="1:8" ht="15" customHeight="1" x14ac:dyDescent="0.2">
      <c r="A196" s="3">
        <v>40</v>
      </c>
      <c r="B196" s="3" t="s">
        <v>0</v>
      </c>
      <c r="C196" s="8" t="s">
        <v>957</v>
      </c>
      <c r="D196" s="3" t="s">
        <v>7</v>
      </c>
      <c r="F196" s="2" t="b">
        <f t="shared" ref="F196:F259" si="3">D196=E196</f>
        <v>0</v>
      </c>
      <c r="H196" s="18" t="s">
        <v>956</v>
      </c>
    </row>
    <row r="197" spans="1:8" ht="15" customHeight="1" x14ac:dyDescent="0.2">
      <c r="A197" s="3">
        <v>40</v>
      </c>
      <c r="B197" s="3" t="s">
        <v>1</v>
      </c>
      <c r="C197" s="8" t="s">
        <v>958</v>
      </c>
      <c r="D197" s="3" t="s">
        <v>7</v>
      </c>
      <c r="F197" s="2" t="b">
        <f t="shared" si="3"/>
        <v>0</v>
      </c>
      <c r="H197" s="18"/>
    </row>
    <row r="198" spans="1:8" ht="15" customHeight="1" x14ac:dyDescent="0.2">
      <c r="A198" s="3">
        <v>40</v>
      </c>
      <c r="B198" s="3" t="s">
        <v>2</v>
      </c>
      <c r="C198" s="8" t="s">
        <v>959</v>
      </c>
      <c r="D198" s="3" t="s">
        <v>7</v>
      </c>
      <c r="F198" s="2" t="b">
        <f t="shared" si="3"/>
        <v>0</v>
      </c>
      <c r="H198" s="18"/>
    </row>
    <row r="199" spans="1:8" ht="15" customHeight="1" x14ac:dyDescent="0.2">
      <c r="A199" s="3">
        <v>40</v>
      </c>
      <c r="B199" s="3" t="s">
        <v>3</v>
      </c>
      <c r="C199" s="8" t="s">
        <v>496</v>
      </c>
      <c r="D199" s="3" t="s">
        <v>8</v>
      </c>
      <c r="F199" s="2" t="b">
        <f t="shared" si="3"/>
        <v>0</v>
      </c>
      <c r="H199" s="18"/>
    </row>
    <row r="200" spans="1:8" ht="31.5" customHeight="1" x14ac:dyDescent="0.2">
      <c r="A200" s="3">
        <v>41</v>
      </c>
      <c r="B200" s="18" t="s">
        <v>960</v>
      </c>
      <c r="C200" s="18"/>
      <c r="D200" s="18"/>
      <c r="E200" s="18"/>
      <c r="F200" s="18"/>
    </row>
    <row r="201" spans="1:8" ht="15" customHeight="1" x14ac:dyDescent="0.2">
      <c r="A201" s="3">
        <v>41</v>
      </c>
      <c r="B201" s="3" t="s">
        <v>0</v>
      </c>
      <c r="C201" s="8" t="s">
        <v>962</v>
      </c>
      <c r="D201" s="3" t="s">
        <v>7</v>
      </c>
      <c r="F201" s="2" t="b">
        <f t="shared" si="3"/>
        <v>0</v>
      </c>
      <c r="H201" s="18" t="s">
        <v>961</v>
      </c>
    </row>
    <row r="202" spans="1:8" ht="15" customHeight="1" x14ac:dyDescent="0.2">
      <c r="A202" s="3">
        <v>41</v>
      </c>
      <c r="B202" s="3" t="s">
        <v>1</v>
      </c>
      <c r="C202" s="8" t="s">
        <v>963</v>
      </c>
      <c r="D202" s="3" t="s">
        <v>7</v>
      </c>
      <c r="F202" s="2" t="b">
        <f t="shared" si="3"/>
        <v>0</v>
      </c>
      <c r="H202" s="18"/>
    </row>
    <row r="203" spans="1:8" ht="15" customHeight="1" x14ac:dyDescent="0.2">
      <c r="A203" s="3">
        <v>41</v>
      </c>
      <c r="B203" s="3" t="s">
        <v>2</v>
      </c>
      <c r="C203" s="8" t="s">
        <v>964</v>
      </c>
      <c r="D203" s="3" t="s">
        <v>7</v>
      </c>
      <c r="F203" s="2" t="b">
        <f t="shared" si="3"/>
        <v>0</v>
      </c>
      <c r="H203" s="18"/>
    </row>
    <row r="204" spans="1:8" ht="15" customHeight="1" x14ac:dyDescent="0.2">
      <c r="A204" s="3">
        <v>41</v>
      </c>
      <c r="B204" s="3" t="s">
        <v>3</v>
      </c>
      <c r="C204" s="8" t="s">
        <v>965</v>
      </c>
      <c r="D204" s="3" t="s">
        <v>8</v>
      </c>
      <c r="F204" s="2" t="b">
        <f t="shared" si="3"/>
        <v>0</v>
      </c>
      <c r="H204" s="18"/>
    </row>
    <row r="205" spans="1:8" ht="34.5" customHeight="1" x14ac:dyDescent="0.2">
      <c r="A205" s="3">
        <v>42</v>
      </c>
      <c r="B205" s="18" t="s">
        <v>966</v>
      </c>
      <c r="C205" s="18"/>
      <c r="D205" s="18"/>
      <c r="E205" s="18"/>
      <c r="F205" s="18"/>
    </row>
    <row r="206" spans="1:8" ht="15" customHeight="1" x14ac:dyDescent="0.2">
      <c r="A206" s="3">
        <v>42</v>
      </c>
      <c r="B206" s="3" t="s">
        <v>0</v>
      </c>
      <c r="C206" s="8" t="s">
        <v>968</v>
      </c>
      <c r="D206" s="3" t="s">
        <v>7</v>
      </c>
      <c r="F206" s="2" t="b">
        <f t="shared" si="3"/>
        <v>0</v>
      </c>
      <c r="H206" s="18" t="s">
        <v>967</v>
      </c>
    </row>
    <row r="207" spans="1:8" ht="15" customHeight="1" x14ac:dyDescent="0.2">
      <c r="A207" s="3">
        <v>42</v>
      </c>
      <c r="B207" s="3" t="s">
        <v>1</v>
      </c>
      <c r="C207" s="8" t="s">
        <v>969</v>
      </c>
      <c r="D207" s="3" t="s">
        <v>8</v>
      </c>
      <c r="F207" s="2" t="b">
        <f t="shared" si="3"/>
        <v>0</v>
      </c>
      <c r="H207" s="18"/>
    </row>
    <row r="208" spans="1:8" ht="15" customHeight="1" x14ac:dyDescent="0.2">
      <c r="A208" s="3">
        <v>42</v>
      </c>
      <c r="B208" s="3" t="s">
        <v>2</v>
      </c>
      <c r="C208" s="8" t="s">
        <v>970</v>
      </c>
      <c r="D208" s="3" t="s">
        <v>7</v>
      </c>
      <c r="F208" s="2" t="b">
        <f t="shared" si="3"/>
        <v>0</v>
      </c>
      <c r="H208" s="18"/>
    </row>
    <row r="209" spans="1:8" ht="15" customHeight="1" x14ac:dyDescent="0.2">
      <c r="A209" s="3">
        <v>42</v>
      </c>
      <c r="B209" s="3" t="s">
        <v>3</v>
      </c>
      <c r="C209" s="8" t="s">
        <v>971</v>
      </c>
      <c r="D209" s="3" t="s">
        <v>8</v>
      </c>
      <c r="F209" s="2" t="b">
        <f t="shared" si="3"/>
        <v>0</v>
      </c>
      <c r="H209" s="18"/>
    </row>
    <row r="210" spans="1:8" ht="22.5" customHeight="1" x14ac:dyDescent="0.2">
      <c r="A210" s="3">
        <v>43</v>
      </c>
      <c r="B210" s="18" t="s">
        <v>972</v>
      </c>
      <c r="C210" s="18"/>
      <c r="D210" s="18"/>
      <c r="E210" s="18"/>
      <c r="F210" s="18"/>
    </row>
    <row r="211" spans="1:8" ht="15" customHeight="1" x14ac:dyDescent="0.2">
      <c r="A211" s="3">
        <v>43</v>
      </c>
      <c r="B211" s="3" t="s">
        <v>0</v>
      </c>
      <c r="C211" s="8" t="s">
        <v>36</v>
      </c>
      <c r="D211" s="3" t="s">
        <v>7</v>
      </c>
      <c r="F211" s="2" t="b">
        <f t="shared" si="3"/>
        <v>0</v>
      </c>
      <c r="H211" s="18" t="s">
        <v>973</v>
      </c>
    </row>
    <row r="212" spans="1:8" ht="15" customHeight="1" x14ac:dyDescent="0.2">
      <c r="A212" s="3">
        <v>43</v>
      </c>
      <c r="B212" s="3" t="s">
        <v>1</v>
      </c>
      <c r="C212" s="8" t="s">
        <v>974</v>
      </c>
      <c r="D212" s="3" t="s">
        <v>7</v>
      </c>
      <c r="F212" s="2" t="b">
        <f t="shared" si="3"/>
        <v>0</v>
      </c>
      <c r="H212" s="18"/>
    </row>
    <row r="213" spans="1:8" ht="15" customHeight="1" x14ac:dyDescent="0.2">
      <c r="A213" s="3">
        <v>43</v>
      </c>
      <c r="B213" s="3" t="s">
        <v>2</v>
      </c>
      <c r="C213" s="8" t="s">
        <v>975</v>
      </c>
      <c r="D213" s="3" t="s">
        <v>7</v>
      </c>
      <c r="F213" s="2" t="b">
        <f t="shared" si="3"/>
        <v>0</v>
      </c>
      <c r="H213" s="18"/>
    </row>
    <row r="214" spans="1:8" ht="15" customHeight="1" x14ac:dyDescent="0.2">
      <c r="A214" s="3">
        <v>43</v>
      </c>
      <c r="B214" s="3" t="s">
        <v>3</v>
      </c>
      <c r="C214" s="8" t="s">
        <v>114</v>
      </c>
      <c r="D214" s="3" t="s">
        <v>8</v>
      </c>
      <c r="F214" s="2" t="b">
        <f t="shared" si="3"/>
        <v>0</v>
      </c>
      <c r="H214" s="18"/>
    </row>
    <row r="215" spans="1:8" ht="51.75" customHeight="1" x14ac:dyDescent="0.2">
      <c r="A215" s="3">
        <v>44</v>
      </c>
      <c r="B215" s="18" t="s">
        <v>976</v>
      </c>
      <c r="C215" s="18"/>
      <c r="D215" s="18"/>
      <c r="E215" s="18"/>
      <c r="F215" s="18"/>
    </row>
    <row r="216" spans="1:8" ht="15" customHeight="1" x14ac:dyDescent="0.2">
      <c r="A216" s="3">
        <v>44</v>
      </c>
      <c r="B216" s="3" t="s">
        <v>0</v>
      </c>
      <c r="C216" s="8" t="s">
        <v>560</v>
      </c>
      <c r="D216" s="3" t="s">
        <v>7</v>
      </c>
      <c r="F216" s="2" t="b">
        <f t="shared" si="3"/>
        <v>0</v>
      </c>
      <c r="H216" s="18" t="s">
        <v>977</v>
      </c>
    </row>
    <row r="217" spans="1:8" ht="15" customHeight="1" x14ac:dyDescent="0.2">
      <c r="A217" s="3">
        <v>44</v>
      </c>
      <c r="B217" s="3" t="s">
        <v>1</v>
      </c>
      <c r="C217" s="8" t="s">
        <v>978</v>
      </c>
      <c r="D217" s="3" t="s">
        <v>7</v>
      </c>
      <c r="F217" s="2" t="b">
        <f t="shared" si="3"/>
        <v>0</v>
      </c>
      <c r="H217" s="18"/>
    </row>
    <row r="218" spans="1:8" ht="15" customHeight="1" x14ac:dyDescent="0.2">
      <c r="A218" s="3">
        <v>44</v>
      </c>
      <c r="B218" s="3" t="s">
        <v>2</v>
      </c>
      <c r="C218" s="8" t="s">
        <v>979</v>
      </c>
      <c r="D218" s="3" t="s">
        <v>8</v>
      </c>
      <c r="F218" s="2" t="b">
        <f t="shared" si="3"/>
        <v>0</v>
      </c>
      <c r="H218" s="18"/>
    </row>
    <row r="219" spans="1:8" ht="15" customHeight="1" x14ac:dyDescent="0.2">
      <c r="A219" s="3">
        <v>44</v>
      </c>
      <c r="B219" s="3" t="s">
        <v>3</v>
      </c>
      <c r="C219" s="8" t="s">
        <v>980</v>
      </c>
      <c r="D219" s="3" t="s">
        <v>7</v>
      </c>
      <c r="F219" s="2" t="b">
        <f t="shared" si="3"/>
        <v>0</v>
      </c>
      <c r="H219" s="18"/>
    </row>
    <row r="220" spans="1:8" ht="15" customHeight="1" x14ac:dyDescent="0.2">
      <c r="A220" s="3">
        <v>45</v>
      </c>
      <c r="B220" s="19" t="s">
        <v>981</v>
      </c>
      <c r="C220" s="19"/>
      <c r="D220" s="19"/>
      <c r="E220" s="19"/>
      <c r="F220" s="19"/>
    </row>
    <row r="221" spans="1:8" ht="15" customHeight="1" x14ac:dyDescent="0.2">
      <c r="A221" s="3">
        <v>45</v>
      </c>
      <c r="B221" s="3" t="s">
        <v>0</v>
      </c>
      <c r="C221" s="8" t="s">
        <v>983</v>
      </c>
      <c r="D221" s="3" t="s">
        <v>8</v>
      </c>
      <c r="F221" s="2" t="b">
        <f t="shared" si="3"/>
        <v>0</v>
      </c>
      <c r="H221" s="18" t="s">
        <v>982</v>
      </c>
    </row>
    <row r="222" spans="1:8" ht="15" customHeight="1" x14ac:dyDescent="0.2">
      <c r="A222" s="3">
        <v>45</v>
      </c>
      <c r="B222" s="3" t="s">
        <v>1</v>
      </c>
      <c r="C222" s="8" t="s">
        <v>984</v>
      </c>
      <c r="D222" s="3" t="s">
        <v>7</v>
      </c>
      <c r="F222" s="2" t="b">
        <f t="shared" si="3"/>
        <v>0</v>
      </c>
      <c r="H222" s="18"/>
    </row>
    <row r="223" spans="1:8" ht="15" customHeight="1" x14ac:dyDescent="0.2">
      <c r="A223" s="3">
        <v>45</v>
      </c>
      <c r="B223" s="3" t="s">
        <v>2</v>
      </c>
      <c r="C223" s="8" t="s">
        <v>985</v>
      </c>
      <c r="D223" s="3" t="s">
        <v>8</v>
      </c>
      <c r="F223" s="2" t="b">
        <f t="shared" si="3"/>
        <v>0</v>
      </c>
      <c r="H223" s="18"/>
    </row>
    <row r="224" spans="1:8" ht="15" customHeight="1" x14ac:dyDescent="0.2">
      <c r="A224" s="3">
        <v>45</v>
      </c>
      <c r="B224" s="3" t="s">
        <v>3</v>
      </c>
      <c r="C224" s="8" t="s">
        <v>986</v>
      </c>
      <c r="D224" s="3" t="s">
        <v>8</v>
      </c>
      <c r="F224" s="2" t="b">
        <f t="shared" si="3"/>
        <v>0</v>
      </c>
      <c r="H224" s="18"/>
    </row>
    <row r="225" spans="1:8" ht="15" customHeight="1" x14ac:dyDescent="0.2">
      <c r="A225" s="3">
        <v>45</v>
      </c>
      <c r="B225" s="3" t="s">
        <v>6</v>
      </c>
      <c r="C225" s="8" t="s">
        <v>987</v>
      </c>
      <c r="D225" s="3" t="s">
        <v>7</v>
      </c>
      <c r="F225" s="2" t="b">
        <f t="shared" si="3"/>
        <v>0</v>
      </c>
      <c r="H225" s="18"/>
    </row>
    <row r="226" spans="1:8" ht="15" customHeight="1" x14ac:dyDescent="0.2">
      <c r="A226" s="3">
        <v>46</v>
      </c>
      <c r="B226" s="19" t="s">
        <v>988</v>
      </c>
      <c r="C226" s="19"/>
      <c r="D226" s="19"/>
      <c r="E226" s="19"/>
      <c r="F226" s="19"/>
    </row>
    <row r="227" spans="1:8" ht="15" customHeight="1" x14ac:dyDescent="0.2">
      <c r="A227" s="3">
        <v>46</v>
      </c>
      <c r="B227" s="3" t="s">
        <v>0</v>
      </c>
      <c r="C227" s="8" t="b">
        <v>1</v>
      </c>
      <c r="D227" s="3" t="s">
        <v>8</v>
      </c>
      <c r="F227" s="2" t="b">
        <f t="shared" si="3"/>
        <v>0</v>
      </c>
      <c r="H227" s="18" t="s">
        <v>989</v>
      </c>
    </row>
    <row r="228" spans="1:8" ht="15" customHeight="1" x14ac:dyDescent="0.2">
      <c r="A228" s="3">
        <v>46</v>
      </c>
      <c r="B228" s="3" t="s">
        <v>1</v>
      </c>
      <c r="C228" s="8" t="b">
        <v>0</v>
      </c>
      <c r="D228" s="3" t="s">
        <v>7</v>
      </c>
      <c r="F228" s="2" t="b">
        <f t="shared" si="3"/>
        <v>0</v>
      </c>
      <c r="H228" s="18"/>
    </row>
    <row r="229" spans="1:8" ht="32.25" customHeight="1" x14ac:dyDescent="0.2">
      <c r="A229" s="3">
        <v>47</v>
      </c>
      <c r="B229" s="18" t="s">
        <v>990</v>
      </c>
      <c r="C229" s="18"/>
      <c r="D229" s="18"/>
      <c r="E229" s="18"/>
      <c r="F229" s="18"/>
    </row>
    <row r="230" spans="1:8" ht="15" customHeight="1" x14ac:dyDescent="0.2">
      <c r="A230" s="3">
        <v>47</v>
      </c>
      <c r="B230" s="3" t="s">
        <v>0</v>
      </c>
      <c r="C230" s="8" t="s">
        <v>992</v>
      </c>
      <c r="D230" s="3" t="s">
        <v>7</v>
      </c>
      <c r="F230" s="2" t="b">
        <f t="shared" si="3"/>
        <v>0</v>
      </c>
      <c r="H230" s="18" t="s">
        <v>991</v>
      </c>
    </row>
    <row r="231" spans="1:8" ht="15" customHeight="1" x14ac:dyDescent="0.2">
      <c r="A231" s="3">
        <v>47</v>
      </c>
      <c r="B231" s="3" t="s">
        <v>1</v>
      </c>
      <c r="C231" s="8" t="s">
        <v>993</v>
      </c>
      <c r="D231" s="3" t="s">
        <v>8</v>
      </c>
      <c r="F231" s="2" t="b">
        <f t="shared" si="3"/>
        <v>0</v>
      </c>
      <c r="H231" s="18"/>
    </row>
    <row r="232" spans="1:8" ht="15" customHeight="1" x14ac:dyDescent="0.2">
      <c r="A232" s="3">
        <v>47</v>
      </c>
      <c r="B232" s="3" t="s">
        <v>2</v>
      </c>
      <c r="C232" s="8" t="s">
        <v>994</v>
      </c>
      <c r="D232" s="3" t="s">
        <v>7</v>
      </c>
      <c r="F232" s="2" t="b">
        <f t="shared" si="3"/>
        <v>0</v>
      </c>
      <c r="H232" s="18"/>
    </row>
    <row r="233" spans="1:8" ht="15" customHeight="1" x14ac:dyDescent="0.2">
      <c r="A233" s="3">
        <v>47</v>
      </c>
      <c r="B233" s="3" t="s">
        <v>3</v>
      </c>
      <c r="C233" s="8" t="s">
        <v>995</v>
      </c>
      <c r="D233" s="3" t="s">
        <v>7</v>
      </c>
      <c r="F233" s="2" t="b">
        <f t="shared" si="3"/>
        <v>0</v>
      </c>
      <c r="H233" s="18"/>
    </row>
    <row r="234" spans="1:8" ht="15" customHeight="1" x14ac:dyDescent="0.2">
      <c r="A234" s="3">
        <v>48</v>
      </c>
      <c r="B234" s="19" t="s">
        <v>996</v>
      </c>
      <c r="C234" s="19"/>
      <c r="D234" s="19"/>
      <c r="E234" s="19"/>
      <c r="F234" s="19"/>
    </row>
    <row r="235" spans="1:8" ht="15" customHeight="1" x14ac:dyDescent="0.2">
      <c r="A235" s="3">
        <v>48</v>
      </c>
      <c r="B235" s="3" t="s">
        <v>0</v>
      </c>
      <c r="C235" s="8" t="s">
        <v>998</v>
      </c>
      <c r="D235" s="3" t="s">
        <v>8</v>
      </c>
      <c r="F235" s="2" t="b">
        <f t="shared" si="3"/>
        <v>0</v>
      </c>
      <c r="H235" s="18" t="s">
        <v>997</v>
      </c>
    </row>
    <row r="236" spans="1:8" ht="15" customHeight="1" x14ac:dyDescent="0.2">
      <c r="A236" s="3">
        <v>48</v>
      </c>
      <c r="B236" s="3" t="s">
        <v>1</v>
      </c>
      <c r="C236" s="8" t="s">
        <v>999</v>
      </c>
      <c r="D236" s="3" t="s">
        <v>7</v>
      </c>
      <c r="F236" s="2" t="b">
        <f t="shared" si="3"/>
        <v>0</v>
      </c>
      <c r="H236" s="18"/>
    </row>
    <row r="237" spans="1:8" ht="15" customHeight="1" x14ac:dyDescent="0.2">
      <c r="A237" s="3">
        <v>48</v>
      </c>
      <c r="B237" s="3" t="s">
        <v>2</v>
      </c>
      <c r="C237" s="8" t="s">
        <v>1000</v>
      </c>
      <c r="D237" s="3" t="s">
        <v>7</v>
      </c>
      <c r="F237" s="2" t="b">
        <f t="shared" si="3"/>
        <v>0</v>
      </c>
      <c r="H237" s="18"/>
    </row>
    <row r="238" spans="1:8" ht="15" customHeight="1" x14ac:dyDescent="0.2">
      <c r="A238" s="3">
        <v>48</v>
      </c>
      <c r="B238" s="3" t="s">
        <v>3</v>
      </c>
      <c r="C238" s="8" t="s">
        <v>1001</v>
      </c>
      <c r="D238" s="3" t="s">
        <v>7</v>
      </c>
      <c r="F238" s="2" t="b">
        <f t="shared" si="3"/>
        <v>0</v>
      </c>
      <c r="H238" s="18"/>
    </row>
    <row r="239" spans="1:8" ht="15" customHeight="1" x14ac:dyDescent="0.2">
      <c r="A239" s="3">
        <v>49</v>
      </c>
      <c r="B239" s="19" t="s">
        <v>1002</v>
      </c>
      <c r="C239" s="19"/>
      <c r="D239" s="19"/>
      <c r="E239" s="19"/>
      <c r="F239" s="19"/>
    </row>
    <row r="240" spans="1:8" ht="15" customHeight="1" x14ac:dyDescent="0.2">
      <c r="A240" s="3">
        <v>49</v>
      </c>
      <c r="B240" s="3" t="s">
        <v>0</v>
      </c>
      <c r="C240" s="8" t="s">
        <v>1004</v>
      </c>
      <c r="D240" s="3" t="s">
        <v>7</v>
      </c>
      <c r="F240" s="2" t="b">
        <f t="shared" si="3"/>
        <v>0</v>
      </c>
      <c r="H240" s="18" t="s">
        <v>1003</v>
      </c>
    </row>
    <row r="241" spans="1:8" ht="15" customHeight="1" x14ac:dyDescent="0.2">
      <c r="A241" s="3">
        <v>49</v>
      </c>
      <c r="B241" s="3" t="s">
        <v>1</v>
      </c>
      <c r="C241" s="8" t="s">
        <v>280</v>
      </c>
      <c r="D241" s="3" t="s">
        <v>7</v>
      </c>
      <c r="F241" s="2" t="b">
        <f t="shared" si="3"/>
        <v>0</v>
      </c>
      <c r="H241" s="18"/>
    </row>
    <row r="242" spans="1:8" ht="15" customHeight="1" x14ac:dyDescent="0.2">
      <c r="A242" s="3">
        <v>49</v>
      </c>
      <c r="B242" s="3" t="s">
        <v>2</v>
      </c>
      <c r="C242" s="8" t="s">
        <v>1005</v>
      </c>
      <c r="D242" s="3" t="s">
        <v>8</v>
      </c>
      <c r="F242" s="2" t="b">
        <f t="shared" si="3"/>
        <v>0</v>
      </c>
      <c r="H242" s="18"/>
    </row>
    <row r="243" spans="1:8" ht="15" customHeight="1" x14ac:dyDescent="0.2">
      <c r="A243" s="3">
        <v>49</v>
      </c>
      <c r="B243" s="3" t="s">
        <v>3</v>
      </c>
      <c r="C243" s="8" t="s">
        <v>1006</v>
      </c>
      <c r="D243" s="3" t="s">
        <v>7</v>
      </c>
      <c r="F243" s="2" t="b">
        <f t="shared" si="3"/>
        <v>0</v>
      </c>
      <c r="H243" s="18"/>
    </row>
    <row r="244" spans="1:8" ht="104.25" customHeight="1" x14ac:dyDescent="0.2">
      <c r="A244" s="3">
        <v>50</v>
      </c>
      <c r="B244" s="18" t="s">
        <v>1007</v>
      </c>
      <c r="C244" s="18"/>
      <c r="D244" s="18"/>
      <c r="E244" s="18"/>
      <c r="F244" s="18"/>
    </row>
    <row r="245" spans="1:8" ht="15" customHeight="1" x14ac:dyDescent="0.2">
      <c r="A245" s="3">
        <v>50</v>
      </c>
      <c r="B245" s="3" t="s">
        <v>0</v>
      </c>
      <c r="C245" s="8" t="s">
        <v>123</v>
      </c>
      <c r="D245" s="3" t="s">
        <v>8</v>
      </c>
      <c r="F245" s="2" t="b">
        <f t="shared" si="3"/>
        <v>0</v>
      </c>
      <c r="H245" s="18" t="s">
        <v>1008</v>
      </c>
    </row>
    <row r="246" spans="1:8" ht="15" customHeight="1" x14ac:dyDescent="0.2">
      <c r="A246" s="3">
        <v>50</v>
      </c>
      <c r="B246" s="3" t="s">
        <v>1</v>
      </c>
      <c r="C246" s="8" t="s">
        <v>1009</v>
      </c>
      <c r="D246" s="3" t="s">
        <v>7</v>
      </c>
      <c r="F246" s="2" t="b">
        <f t="shared" si="3"/>
        <v>0</v>
      </c>
      <c r="H246" s="18"/>
    </row>
    <row r="247" spans="1:8" ht="15" customHeight="1" x14ac:dyDescent="0.2">
      <c r="A247" s="3">
        <v>50</v>
      </c>
      <c r="B247" s="3" t="s">
        <v>2</v>
      </c>
      <c r="C247" s="8" t="s">
        <v>1010</v>
      </c>
      <c r="D247" s="3" t="s">
        <v>7</v>
      </c>
      <c r="F247" s="2" t="b">
        <f t="shared" si="3"/>
        <v>0</v>
      </c>
      <c r="H247" s="18"/>
    </row>
    <row r="248" spans="1:8" ht="15" customHeight="1" x14ac:dyDescent="0.2">
      <c r="A248" s="3">
        <v>50</v>
      </c>
      <c r="B248" s="3" t="s">
        <v>3</v>
      </c>
      <c r="C248" s="8" t="s">
        <v>1011</v>
      </c>
      <c r="D248" s="3" t="s">
        <v>7</v>
      </c>
      <c r="F248" s="2" t="b">
        <f t="shared" si="3"/>
        <v>0</v>
      </c>
      <c r="H248" s="18"/>
    </row>
    <row r="249" spans="1:8" ht="15" customHeight="1" x14ac:dyDescent="0.2">
      <c r="A249" s="3">
        <v>51</v>
      </c>
      <c r="B249" s="19" t="s">
        <v>1012</v>
      </c>
      <c r="C249" s="19"/>
      <c r="D249" s="19"/>
      <c r="E249" s="19"/>
      <c r="F249" s="19"/>
    </row>
    <row r="250" spans="1:8" ht="15" customHeight="1" x14ac:dyDescent="0.2">
      <c r="A250" s="3">
        <v>51</v>
      </c>
      <c r="B250" s="3" t="s">
        <v>0</v>
      </c>
      <c r="C250" s="8" t="s">
        <v>1014</v>
      </c>
      <c r="D250" s="3" t="s">
        <v>8</v>
      </c>
      <c r="F250" s="2" t="b">
        <f t="shared" si="3"/>
        <v>0</v>
      </c>
      <c r="H250" s="18" t="s">
        <v>1013</v>
      </c>
    </row>
    <row r="251" spans="1:8" ht="15" customHeight="1" x14ac:dyDescent="0.2">
      <c r="A251" s="3">
        <v>51</v>
      </c>
      <c r="B251" s="3" t="s">
        <v>1</v>
      </c>
      <c r="C251" s="8" t="s">
        <v>1015</v>
      </c>
      <c r="D251" s="3" t="s">
        <v>7</v>
      </c>
      <c r="F251" s="2" t="b">
        <f t="shared" si="3"/>
        <v>0</v>
      </c>
      <c r="H251" s="18"/>
    </row>
    <row r="252" spans="1:8" ht="15" customHeight="1" x14ac:dyDescent="0.2">
      <c r="A252" s="3">
        <v>51</v>
      </c>
      <c r="B252" s="3" t="s">
        <v>2</v>
      </c>
      <c r="C252" s="8" t="s">
        <v>677</v>
      </c>
      <c r="D252" s="3" t="s">
        <v>7</v>
      </c>
      <c r="F252" s="2" t="b">
        <f t="shared" si="3"/>
        <v>0</v>
      </c>
      <c r="H252" s="18"/>
    </row>
    <row r="253" spans="1:8" ht="15" customHeight="1" x14ac:dyDescent="0.2">
      <c r="A253" s="3">
        <v>51</v>
      </c>
      <c r="B253" s="3" t="s">
        <v>3</v>
      </c>
      <c r="C253" s="8" t="s">
        <v>1016</v>
      </c>
      <c r="D253" s="3" t="s">
        <v>7</v>
      </c>
      <c r="F253" s="2" t="b">
        <f t="shared" si="3"/>
        <v>0</v>
      </c>
      <c r="H253" s="18"/>
    </row>
    <row r="254" spans="1:8" ht="15" customHeight="1" x14ac:dyDescent="0.2">
      <c r="A254" s="3">
        <v>52</v>
      </c>
      <c r="B254" s="19" t="s">
        <v>1017</v>
      </c>
      <c r="C254" s="19"/>
      <c r="D254" s="19"/>
      <c r="E254" s="19"/>
      <c r="F254" s="19"/>
    </row>
    <row r="255" spans="1:8" ht="15" customHeight="1" x14ac:dyDescent="0.2">
      <c r="A255" s="3">
        <v>52</v>
      </c>
      <c r="B255" s="3" t="s">
        <v>0</v>
      </c>
      <c r="C255" s="8" t="s">
        <v>1019</v>
      </c>
      <c r="D255" s="3" t="s">
        <v>7</v>
      </c>
      <c r="F255" s="2" t="b">
        <f t="shared" si="3"/>
        <v>0</v>
      </c>
      <c r="H255" s="18" t="s">
        <v>1018</v>
      </c>
    </row>
    <row r="256" spans="1:8" ht="15" customHeight="1" x14ac:dyDescent="0.2">
      <c r="A256" s="3">
        <v>52</v>
      </c>
      <c r="B256" s="3" t="s">
        <v>1</v>
      </c>
      <c r="C256" s="8" t="s">
        <v>1020</v>
      </c>
      <c r="D256" s="3" t="s">
        <v>8</v>
      </c>
      <c r="F256" s="2" t="b">
        <f t="shared" si="3"/>
        <v>0</v>
      </c>
      <c r="H256" s="18"/>
    </row>
    <row r="257" spans="1:8" ht="15" customHeight="1" x14ac:dyDescent="0.2">
      <c r="A257" s="3">
        <v>52</v>
      </c>
      <c r="B257" s="3" t="s">
        <v>2</v>
      </c>
      <c r="C257" s="8" t="s">
        <v>1021</v>
      </c>
      <c r="D257" s="3" t="s">
        <v>8</v>
      </c>
      <c r="F257" s="2" t="b">
        <f t="shared" si="3"/>
        <v>0</v>
      </c>
      <c r="H257" s="18"/>
    </row>
    <row r="258" spans="1:8" ht="15" customHeight="1" x14ac:dyDescent="0.2">
      <c r="A258" s="3">
        <v>52</v>
      </c>
      <c r="B258" s="3" t="s">
        <v>3</v>
      </c>
      <c r="C258" s="8" t="s">
        <v>747</v>
      </c>
      <c r="D258" s="3" t="s">
        <v>8</v>
      </c>
      <c r="F258" s="2" t="b">
        <f t="shared" si="3"/>
        <v>0</v>
      </c>
      <c r="H258" s="18"/>
    </row>
    <row r="259" spans="1:8" ht="15" customHeight="1" x14ac:dyDescent="0.2">
      <c r="A259" s="3">
        <v>52</v>
      </c>
      <c r="B259" s="3" t="s">
        <v>6</v>
      </c>
      <c r="C259" s="8" t="s">
        <v>1022</v>
      </c>
      <c r="D259" s="3" t="s">
        <v>7</v>
      </c>
      <c r="F259" s="2" t="b">
        <f t="shared" si="3"/>
        <v>0</v>
      </c>
      <c r="H259" s="18"/>
    </row>
    <row r="260" spans="1:8" ht="85.5" customHeight="1" x14ac:dyDescent="0.2">
      <c r="A260" s="3">
        <v>53</v>
      </c>
      <c r="B260" s="18" t="s">
        <v>1023</v>
      </c>
      <c r="C260" s="18"/>
      <c r="D260" s="18"/>
      <c r="E260" s="18"/>
      <c r="F260" s="18"/>
    </row>
    <row r="261" spans="1:8" ht="15" customHeight="1" x14ac:dyDescent="0.2">
      <c r="A261" s="3">
        <v>53</v>
      </c>
      <c r="B261" s="3" t="s">
        <v>0</v>
      </c>
      <c r="C261" s="8" t="s">
        <v>1025</v>
      </c>
      <c r="D261" s="3" t="s">
        <v>7</v>
      </c>
      <c r="F261" s="2" t="b">
        <f t="shared" ref="F261:F323" si="4">D261=E261</f>
        <v>0</v>
      </c>
      <c r="H261" s="18" t="s">
        <v>1024</v>
      </c>
    </row>
    <row r="262" spans="1:8" ht="15" customHeight="1" x14ac:dyDescent="0.2">
      <c r="A262" s="3">
        <v>53</v>
      </c>
      <c r="B262" s="3" t="s">
        <v>1</v>
      </c>
      <c r="C262" s="8" t="s">
        <v>1026</v>
      </c>
      <c r="D262" s="3" t="s">
        <v>7</v>
      </c>
      <c r="F262" s="2" t="b">
        <f t="shared" si="4"/>
        <v>0</v>
      </c>
      <c r="H262" s="18"/>
    </row>
    <row r="263" spans="1:8" ht="15" customHeight="1" x14ac:dyDescent="0.2">
      <c r="A263" s="3">
        <v>53</v>
      </c>
      <c r="B263" s="3" t="s">
        <v>2</v>
      </c>
      <c r="C263" s="8" t="s">
        <v>1027</v>
      </c>
      <c r="D263" s="3" t="s">
        <v>8</v>
      </c>
      <c r="F263" s="2" t="b">
        <f t="shared" si="4"/>
        <v>0</v>
      </c>
      <c r="H263" s="18"/>
    </row>
    <row r="264" spans="1:8" ht="15" customHeight="1" x14ac:dyDescent="0.2">
      <c r="A264" s="3">
        <v>53</v>
      </c>
      <c r="B264" s="3" t="s">
        <v>3</v>
      </c>
      <c r="C264" s="8" t="s">
        <v>1028</v>
      </c>
      <c r="D264" s="3" t="s">
        <v>7</v>
      </c>
      <c r="F264" s="2" t="b">
        <f t="shared" si="4"/>
        <v>0</v>
      </c>
      <c r="H264" s="18"/>
    </row>
    <row r="265" spans="1:8" ht="15" customHeight="1" x14ac:dyDescent="0.2">
      <c r="A265" s="3">
        <v>54</v>
      </c>
      <c r="B265" s="19" t="s">
        <v>1029</v>
      </c>
      <c r="C265" s="19"/>
      <c r="D265" s="19"/>
      <c r="E265" s="19"/>
      <c r="F265" s="19"/>
    </row>
    <row r="266" spans="1:8" ht="15" customHeight="1" x14ac:dyDescent="0.2">
      <c r="A266" s="3">
        <v>54</v>
      </c>
      <c r="B266" s="3" t="s">
        <v>0</v>
      </c>
      <c r="C266" s="8" t="s">
        <v>1031</v>
      </c>
      <c r="D266" s="3" t="s">
        <v>7</v>
      </c>
      <c r="F266" s="2" t="b">
        <f t="shared" si="4"/>
        <v>0</v>
      </c>
      <c r="H266" s="18" t="s">
        <v>1030</v>
      </c>
    </row>
    <row r="267" spans="1:8" ht="15" customHeight="1" x14ac:dyDescent="0.2">
      <c r="A267" s="3">
        <v>54</v>
      </c>
      <c r="B267" s="3" t="s">
        <v>1</v>
      </c>
      <c r="C267" s="8" t="s">
        <v>33</v>
      </c>
      <c r="D267" s="3" t="s">
        <v>7</v>
      </c>
      <c r="F267" s="2" t="b">
        <f t="shared" si="4"/>
        <v>0</v>
      </c>
      <c r="H267" s="18"/>
    </row>
    <row r="268" spans="1:8" ht="15" customHeight="1" x14ac:dyDescent="0.2">
      <c r="A268" s="3">
        <v>54</v>
      </c>
      <c r="B268" s="3" t="s">
        <v>2</v>
      </c>
      <c r="C268" s="8" t="s">
        <v>34</v>
      </c>
      <c r="D268" s="3" t="s">
        <v>7</v>
      </c>
      <c r="F268" s="2" t="b">
        <f t="shared" si="4"/>
        <v>0</v>
      </c>
      <c r="H268" s="18"/>
    </row>
    <row r="269" spans="1:8" ht="15" customHeight="1" x14ac:dyDescent="0.2">
      <c r="A269" s="3">
        <v>54</v>
      </c>
      <c r="B269" s="3" t="s">
        <v>3</v>
      </c>
      <c r="C269" s="8" t="s">
        <v>99</v>
      </c>
      <c r="D269" s="3" t="s">
        <v>8</v>
      </c>
      <c r="F269" s="2" t="b">
        <f t="shared" si="4"/>
        <v>0</v>
      </c>
      <c r="H269" s="18"/>
    </row>
    <row r="270" spans="1:8" ht="31.5" customHeight="1" x14ac:dyDescent="0.2">
      <c r="A270" s="3">
        <v>55</v>
      </c>
      <c r="B270" s="18" t="s">
        <v>1032</v>
      </c>
      <c r="C270" s="18"/>
      <c r="D270" s="18"/>
      <c r="E270" s="18"/>
      <c r="F270" s="18"/>
    </row>
    <row r="271" spans="1:8" ht="15" customHeight="1" x14ac:dyDescent="0.2">
      <c r="A271" s="3">
        <v>55</v>
      </c>
      <c r="B271" s="3" t="s">
        <v>0</v>
      </c>
      <c r="C271" s="8" t="s">
        <v>1034</v>
      </c>
      <c r="D271" s="3" t="s">
        <v>8</v>
      </c>
      <c r="F271" s="2" t="b">
        <f t="shared" si="4"/>
        <v>0</v>
      </c>
      <c r="H271" s="18" t="s">
        <v>1033</v>
      </c>
    </row>
    <row r="272" spans="1:8" ht="15" customHeight="1" x14ac:dyDescent="0.2">
      <c r="A272" s="3">
        <v>55</v>
      </c>
      <c r="B272" s="3" t="s">
        <v>1</v>
      </c>
      <c r="C272" s="8" t="s">
        <v>1035</v>
      </c>
      <c r="D272" s="3" t="s">
        <v>7</v>
      </c>
      <c r="F272" s="2" t="b">
        <f t="shared" si="4"/>
        <v>0</v>
      </c>
      <c r="H272" s="18"/>
    </row>
    <row r="273" spans="1:8" ht="15" customHeight="1" x14ac:dyDescent="0.2">
      <c r="A273" s="3">
        <v>55</v>
      </c>
      <c r="B273" s="3" t="s">
        <v>2</v>
      </c>
      <c r="C273" s="8" t="s">
        <v>1036</v>
      </c>
      <c r="D273" s="3" t="s">
        <v>7</v>
      </c>
      <c r="F273" s="2" t="b">
        <f t="shared" si="4"/>
        <v>0</v>
      </c>
      <c r="H273" s="18"/>
    </row>
    <row r="274" spans="1:8" ht="15" customHeight="1" x14ac:dyDescent="0.2">
      <c r="A274" s="3">
        <v>55</v>
      </c>
      <c r="B274" s="3" t="s">
        <v>3</v>
      </c>
      <c r="C274" s="8" t="s">
        <v>1037</v>
      </c>
      <c r="D274" s="3" t="s">
        <v>7</v>
      </c>
      <c r="F274" s="2" t="b">
        <f t="shared" si="4"/>
        <v>0</v>
      </c>
      <c r="H274" s="18"/>
    </row>
    <row r="275" spans="1:8" ht="15" customHeight="1" x14ac:dyDescent="0.2">
      <c r="A275" s="3">
        <v>56</v>
      </c>
      <c r="B275" s="19" t="s">
        <v>1038</v>
      </c>
      <c r="C275" s="19"/>
      <c r="D275" s="19"/>
      <c r="E275" s="19"/>
      <c r="F275" s="19"/>
    </row>
    <row r="276" spans="1:8" ht="15" customHeight="1" x14ac:dyDescent="0.2">
      <c r="A276" s="3">
        <v>56</v>
      </c>
      <c r="B276" s="3" t="s">
        <v>0</v>
      </c>
      <c r="C276" s="8" t="s">
        <v>621</v>
      </c>
      <c r="D276" s="3" t="s">
        <v>7</v>
      </c>
      <c r="F276" s="2" t="b">
        <f t="shared" si="4"/>
        <v>0</v>
      </c>
      <c r="H276" s="18" t="s">
        <v>1039</v>
      </c>
    </row>
    <row r="277" spans="1:8" ht="15" customHeight="1" x14ac:dyDescent="0.2">
      <c r="A277" s="3">
        <v>56</v>
      </c>
      <c r="B277" s="3" t="s">
        <v>1</v>
      </c>
      <c r="C277" s="8" t="s">
        <v>830</v>
      </c>
      <c r="D277" s="3" t="s">
        <v>8</v>
      </c>
      <c r="F277" s="2" t="b">
        <f t="shared" si="4"/>
        <v>0</v>
      </c>
      <c r="H277" s="18"/>
    </row>
    <row r="278" spans="1:8" ht="15" customHeight="1" x14ac:dyDescent="0.2">
      <c r="A278" s="3">
        <v>56</v>
      </c>
      <c r="B278" s="3" t="s">
        <v>2</v>
      </c>
      <c r="C278" s="8" t="s">
        <v>1040</v>
      </c>
      <c r="D278" s="3" t="s">
        <v>7</v>
      </c>
      <c r="F278" s="2" t="b">
        <f t="shared" si="4"/>
        <v>0</v>
      </c>
      <c r="H278" s="18"/>
    </row>
    <row r="279" spans="1:8" ht="15" customHeight="1" x14ac:dyDescent="0.2">
      <c r="A279" s="3">
        <v>56</v>
      </c>
      <c r="B279" s="3" t="s">
        <v>3</v>
      </c>
      <c r="C279" s="8" t="s">
        <v>1041</v>
      </c>
      <c r="D279" s="3" t="s">
        <v>7</v>
      </c>
      <c r="F279" s="2" t="b">
        <f t="shared" si="4"/>
        <v>0</v>
      </c>
      <c r="H279" s="18"/>
    </row>
    <row r="280" spans="1:8" ht="15" customHeight="1" x14ac:dyDescent="0.2">
      <c r="A280" s="3">
        <v>57</v>
      </c>
      <c r="B280" s="19" t="s">
        <v>1042</v>
      </c>
      <c r="C280" s="19"/>
      <c r="D280" s="19"/>
      <c r="E280" s="19"/>
      <c r="F280" s="19"/>
    </row>
    <row r="281" spans="1:8" ht="15" customHeight="1" x14ac:dyDescent="0.2">
      <c r="A281" s="3">
        <v>57</v>
      </c>
      <c r="B281" s="3" t="s">
        <v>0</v>
      </c>
      <c r="C281" s="8" t="s">
        <v>1044</v>
      </c>
      <c r="D281" s="3" t="s">
        <v>7</v>
      </c>
      <c r="F281" s="2" t="b">
        <f t="shared" si="4"/>
        <v>0</v>
      </c>
      <c r="H281" s="18" t="s">
        <v>1043</v>
      </c>
    </row>
    <row r="282" spans="1:8" ht="15" customHeight="1" x14ac:dyDescent="0.2">
      <c r="A282" s="3">
        <v>57</v>
      </c>
      <c r="B282" s="3" t="s">
        <v>1</v>
      </c>
      <c r="C282" s="8" t="s">
        <v>1045</v>
      </c>
      <c r="D282" s="3" t="s">
        <v>8</v>
      </c>
      <c r="F282" s="2" t="b">
        <f t="shared" si="4"/>
        <v>0</v>
      </c>
      <c r="H282" s="18"/>
    </row>
    <row r="283" spans="1:8" ht="15" customHeight="1" x14ac:dyDescent="0.2">
      <c r="A283" s="3">
        <v>57</v>
      </c>
      <c r="B283" s="3" t="s">
        <v>2</v>
      </c>
      <c r="C283" s="8" t="s">
        <v>1046</v>
      </c>
      <c r="D283" s="3" t="s">
        <v>7</v>
      </c>
      <c r="F283" s="2" t="b">
        <f t="shared" si="4"/>
        <v>0</v>
      </c>
      <c r="H283" s="18"/>
    </row>
    <row r="284" spans="1:8" ht="15" customHeight="1" x14ac:dyDescent="0.2">
      <c r="A284" s="3">
        <v>57</v>
      </c>
      <c r="B284" s="3" t="s">
        <v>3</v>
      </c>
      <c r="C284" s="8" t="s">
        <v>1047</v>
      </c>
      <c r="D284" s="3" t="s">
        <v>7</v>
      </c>
      <c r="F284" s="2" t="b">
        <f t="shared" si="4"/>
        <v>0</v>
      </c>
      <c r="H284" s="18"/>
    </row>
    <row r="285" spans="1:8" ht="15" customHeight="1" x14ac:dyDescent="0.2">
      <c r="A285" s="3">
        <v>58</v>
      </c>
      <c r="B285" s="19" t="s">
        <v>1048</v>
      </c>
      <c r="C285" s="19"/>
      <c r="D285" s="19"/>
      <c r="E285" s="19"/>
      <c r="F285" s="19"/>
    </row>
    <row r="286" spans="1:8" ht="15" customHeight="1" x14ac:dyDescent="0.2">
      <c r="A286" s="3">
        <v>58</v>
      </c>
      <c r="B286" s="3" t="s">
        <v>0</v>
      </c>
      <c r="C286" s="8" t="s">
        <v>1050</v>
      </c>
      <c r="D286" s="3" t="s">
        <v>7</v>
      </c>
      <c r="F286" s="2" t="b">
        <f t="shared" si="4"/>
        <v>0</v>
      </c>
      <c r="H286" s="18" t="s">
        <v>1049</v>
      </c>
    </row>
    <row r="287" spans="1:8" ht="15" customHeight="1" x14ac:dyDescent="0.2">
      <c r="A287" s="3">
        <v>58</v>
      </c>
      <c r="B287" s="3" t="s">
        <v>1</v>
      </c>
      <c r="C287" s="8" t="s">
        <v>1051</v>
      </c>
      <c r="D287" s="3" t="s">
        <v>7</v>
      </c>
      <c r="F287" s="2" t="b">
        <f t="shared" si="4"/>
        <v>0</v>
      </c>
      <c r="H287" s="18"/>
    </row>
    <row r="288" spans="1:8" ht="15" customHeight="1" x14ac:dyDescent="0.2">
      <c r="A288" s="3">
        <v>58</v>
      </c>
      <c r="B288" s="3" t="s">
        <v>2</v>
      </c>
      <c r="C288" s="8" t="s">
        <v>1052</v>
      </c>
      <c r="D288" s="3" t="s">
        <v>7</v>
      </c>
      <c r="F288" s="2" t="b">
        <f t="shared" si="4"/>
        <v>0</v>
      </c>
      <c r="H288" s="18"/>
    </row>
    <row r="289" spans="1:8" ht="15" customHeight="1" x14ac:dyDescent="0.2">
      <c r="A289" s="3">
        <v>58</v>
      </c>
      <c r="B289" s="3" t="s">
        <v>3</v>
      </c>
      <c r="C289" s="8" t="s">
        <v>1053</v>
      </c>
      <c r="D289" s="3" t="s">
        <v>8</v>
      </c>
      <c r="F289" s="2" t="b">
        <f t="shared" si="4"/>
        <v>0</v>
      </c>
      <c r="H289" s="18"/>
    </row>
    <row r="290" spans="1:8" ht="53.25" customHeight="1" x14ac:dyDescent="0.2">
      <c r="A290" s="3">
        <v>59</v>
      </c>
      <c r="B290" s="18" t="s">
        <v>1054</v>
      </c>
      <c r="C290" s="18"/>
      <c r="D290" s="18"/>
      <c r="E290" s="18"/>
      <c r="F290" s="18"/>
    </row>
    <row r="291" spans="1:8" ht="15" customHeight="1" x14ac:dyDescent="0.2">
      <c r="A291" s="3">
        <v>59</v>
      </c>
      <c r="B291" s="3" t="s">
        <v>0</v>
      </c>
      <c r="C291" s="8" t="s">
        <v>1056</v>
      </c>
      <c r="D291" s="3" t="s">
        <v>7</v>
      </c>
      <c r="F291" s="2" t="b">
        <f t="shared" si="4"/>
        <v>0</v>
      </c>
      <c r="H291" s="18" t="s">
        <v>1055</v>
      </c>
    </row>
    <row r="292" spans="1:8" ht="15" customHeight="1" x14ac:dyDescent="0.2">
      <c r="A292" s="3">
        <v>59</v>
      </c>
      <c r="B292" s="3" t="s">
        <v>1</v>
      </c>
      <c r="C292" s="8" t="s">
        <v>1057</v>
      </c>
      <c r="D292" s="3" t="s">
        <v>7</v>
      </c>
      <c r="F292" s="2" t="b">
        <f t="shared" si="4"/>
        <v>0</v>
      </c>
      <c r="H292" s="18"/>
    </row>
    <row r="293" spans="1:8" ht="15" customHeight="1" x14ac:dyDescent="0.2">
      <c r="A293" s="3">
        <v>59</v>
      </c>
      <c r="B293" s="3" t="s">
        <v>2</v>
      </c>
      <c r="C293" s="8" t="s">
        <v>5</v>
      </c>
      <c r="D293" s="3" t="s">
        <v>7</v>
      </c>
      <c r="F293" s="2" t="b">
        <f t="shared" si="4"/>
        <v>0</v>
      </c>
      <c r="H293" s="18"/>
    </row>
    <row r="294" spans="1:8" ht="15" customHeight="1" x14ac:dyDescent="0.2">
      <c r="A294" s="3">
        <v>59</v>
      </c>
      <c r="B294" s="3" t="s">
        <v>3</v>
      </c>
      <c r="C294" s="8" t="s">
        <v>497</v>
      </c>
      <c r="D294" s="3" t="s">
        <v>8</v>
      </c>
      <c r="F294" s="2" t="b">
        <f t="shared" si="4"/>
        <v>0</v>
      </c>
      <c r="H294" s="18"/>
    </row>
    <row r="295" spans="1:8" ht="24.75" customHeight="1" x14ac:dyDescent="0.2">
      <c r="A295" s="3">
        <v>60</v>
      </c>
      <c r="B295" s="18" t="s">
        <v>1058</v>
      </c>
      <c r="C295" s="18"/>
      <c r="D295" s="18"/>
      <c r="E295" s="18"/>
      <c r="F295" s="18"/>
    </row>
    <row r="296" spans="1:8" ht="15" customHeight="1" x14ac:dyDescent="0.2">
      <c r="A296" s="3">
        <v>60</v>
      </c>
      <c r="B296" s="3" t="s">
        <v>0</v>
      </c>
      <c r="C296" s="8" t="s">
        <v>1060</v>
      </c>
      <c r="D296" s="3" t="s">
        <v>7</v>
      </c>
      <c r="F296" s="2" t="b">
        <f t="shared" si="4"/>
        <v>0</v>
      </c>
      <c r="H296" s="18" t="s">
        <v>1059</v>
      </c>
    </row>
    <row r="297" spans="1:8" ht="15" customHeight="1" x14ac:dyDescent="0.2">
      <c r="A297" s="3">
        <v>60</v>
      </c>
      <c r="B297" s="3" t="s">
        <v>1</v>
      </c>
      <c r="C297" s="8" t="s">
        <v>161</v>
      </c>
      <c r="D297" s="3" t="s">
        <v>8</v>
      </c>
      <c r="F297" s="2" t="b">
        <f t="shared" si="4"/>
        <v>0</v>
      </c>
      <c r="H297" s="18"/>
    </row>
    <row r="298" spans="1:8" ht="15" customHeight="1" x14ac:dyDescent="0.2">
      <c r="A298" s="3">
        <v>60</v>
      </c>
      <c r="B298" s="3" t="s">
        <v>2</v>
      </c>
      <c r="C298" s="8" t="s">
        <v>1061</v>
      </c>
      <c r="D298" s="3" t="s">
        <v>7</v>
      </c>
      <c r="F298" s="2" t="b">
        <f t="shared" si="4"/>
        <v>0</v>
      </c>
      <c r="H298" s="18"/>
    </row>
    <row r="299" spans="1:8" ht="15" customHeight="1" x14ac:dyDescent="0.2">
      <c r="A299" s="3">
        <v>60</v>
      </c>
      <c r="B299" s="3" t="s">
        <v>3</v>
      </c>
      <c r="C299" s="8" t="s">
        <v>1062</v>
      </c>
      <c r="D299" s="3" t="s">
        <v>7</v>
      </c>
      <c r="F299" s="2" t="b">
        <f t="shared" si="4"/>
        <v>0</v>
      </c>
      <c r="H299" s="18"/>
    </row>
    <row r="300" spans="1:8" ht="33" customHeight="1" x14ac:dyDescent="0.2">
      <c r="A300" s="3">
        <v>61</v>
      </c>
      <c r="B300" s="18" t="s">
        <v>1063</v>
      </c>
      <c r="C300" s="18"/>
      <c r="D300" s="18"/>
      <c r="E300" s="18"/>
      <c r="F300" s="18"/>
    </row>
    <row r="301" spans="1:8" ht="15" customHeight="1" x14ac:dyDescent="0.2">
      <c r="A301" s="3">
        <v>61</v>
      </c>
      <c r="B301" s="3" t="s">
        <v>0</v>
      </c>
      <c r="C301" s="8" t="s">
        <v>1065</v>
      </c>
      <c r="D301" s="3" t="s">
        <v>7</v>
      </c>
      <c r="F301" s="2" t="b">
        <f t="shared" si="4"/>
        <v>0</v>
      </c>
      <c r="H301" s="18" t="s">
        <v>1064</v>
      </c>
    </row>
    <row r="302" spans="1:8" ht="15" customHeight="1" x14ac:dyDescent="0.2">
      <c r="A302" s="3">
        <v>61</v>
      </c>
      <c r="B302" s="3" t="s">
        <v>1</v>
      </c>
      <c r="C302" s="8" t="s">
        <v>1066</v>
      </c>
      <c r="D302" s="3" t="s">
        <v>7</v>
      </c>
      <c r="F302" s="2" t="b">
        <f t="shared" si="4"/>
        <v>0</v>
      </c>
      <c r="H302" s="18"/>
    </row>
    <row r="303" spans="1:8" ht="15" customHeight="1" x14ac:dyDescent="0.2">
      <c r="A303" s="3">
        <v>61</v>
      </c>
      <c r="B303" s="3" t="s">
        <v>2</v>
      </c>
      <c r="C303" s="8" t="s">
        <v>1067</v>
      </c>
      <c r="D303" s="3" t="s">
        <v>8</v>
      </c>
      <c r="F303" s="2" t="b">
        <f t="shared" si="4"/>
        <v>0</v>
      </c>
      <c r="H303" s="18"/>
    </row>
    <row r="304" spans="1:8" ht="15" customHeight="1" x14ac:dyDescent="0.2">
      <c r="A304" s="3">
        <v>61</v>
      </c>
      <c r="B304" s="3" t="s">
        <v>3</v>
      </c>
      <c r="C304" s="8" t="s">
        <v>1068</v>
      </c>
      <c r="D304" s="3" t="s">
        <v>7</v>
      </c>
      <c r="F304" s="2" t="b">
        <f t="shared" si="4"/>
        <v>0</v>
      </c>
      <c r="H304" s="18"/>
    </row>
    <row r="305" spans="1:8" ht="84.75" customHeight="1" x14ac:dyDescent="0.2">
      <c r="A305" s="3">
        <v>62</v>
      </c>
      <c r="B305" s="18" t="s">
        <v>1069</v>
      </c>
      <c r="C305" s="18"/>
      <c r="D305" s="18"/>
      <c r="E305" s="18"/>
      <c r="F305" s="18"/>
    </row>
    <row r="306" spans="1:8" ht="15" customHeight="1" x14ac:dyDescent="0.2">
      <c r="A306" s="3">
        <v>62</v>
      </c>
      <c r="B306" s="3" t="s">
        <v>0</v>
      </c>
      <c r="C306" s="8" t="s">
        <v>1071</v>
      </c>
      <c r="D306" s="3" t="s">
        <v>7</v>
      </c>
      <c r="F306" s="2" t="b">
        <f t="shared" si="4"/>
        <v>0</v>
      </c>
      <c r="H306" s="18" t="s">
        <v>1070</v>
      </c>
    </row>
    <row r="307" spans="1:8" ht="15" customHeight="1" x14ac:dyDescent="0.2">
      <c r="A307" s="3">
        <v>62</v>
      </c>
      <c r="B307" s="3" t="s">
        <v>1</v>
      </c>
      <c r="C307" s="8" t="s">
        <v>1072</v>
      </c>
      <c r="D307" s="3" t="s">
        <v>7</v>
      </c>
      <c r="F307" s="2" t="b">
        <f t="shared" si="4"/>
        <v>0</v>
      </c>
      <c r="H307" s="18"/>
    </row>
    <row r="308" spans="1:8" ht="15" customHeight="1" x14ac:dyDescent="0.2">
      <c r="A308" s="3">
        <v>62</v>
      </c>
      <c r="B308" s="3" t="s">
        <v>2</v>
      </c>
      <c r="C308" s="8" t="s">
        <v>1073</v>
      </c>
      <c r="D308" s="3" t="s">
        <v>8</v>
      </c>
      <c r="F308" s="2" t="b">
        <f t="shared" si="4"/>
        <v>0</v>
      </c>
      <c r="H308" s="18"/>
    </row>
    <row r="309" spans="1:8" ht="15" customHeight="1" x14ac:dyDescent="0.2">
      <c r="A309" s="3">
        <v>62</v>
      </c>
      <c r="B309" s="3" t="s">
        <v>3</v>
      </c>
      <c r="C309" s="8" t="s">
        <v>1074</v>
      </c>
      <c r="D309" s="3" t="s">
        <v>7</v>
      </c>
      <c r="F309" s="2" t="b">
        <f t="shared" si="4"/>
        <v>0</v>
      </c>
      <c r="H309" s="18"/>
    </row>
    <row r="310" spans="1:8" ht="15" customHeight="1" x14ac:dyDescent="0.2">
      <c r="A310" s="3">
        <v>63</v>
      </c>
      <c r="B310" s="19" t="s">
        <v>1075</v>
      </c>
      <c r="C310" s="19"/>
      <c r="D310" s="19"/>
      <c r="E310" s="19"/>
      <c r="F310" s="19"/>
    </row>
    <row r="311" spans="1:8" ht="15" customHeight="1" x14ac:dyDescent="0.2">
      <c r="A311" s="3">
        <v>63</v>
      </c>
      <c r="B311" s="3" t="s">
        <v>0</v>
      </c>
      <c r="C311" s="8" t="s">
        <v>1077</v>
      </c>
      <c r="D311" s="3" t="s">
        <v>7</v>
      </c>
      <c r="F311" s="2" t="b">
        <f t="shared" si="4"/>
        <v>0</v>
      </c>
      <c r="H311" s="18" t="s">
        <v>1076</v>
      </c>
    </row>
    <row r="312" spans="1:8" ht="15" customHeight="1" x14ac:dyDescent="0.2">
      <c r="A312" s="3">
        <v>63</v>
      </c>
      <c r="B312" s="3" t="s">
        <v>1</v>
      </c>
      <c r="C312" s="8" t="s">
        <v>1078</v>
      </c>
      <c r="D312" s="3" t="s">
        <v>8</v>
      </c>
      <c r="F312" s="2" t="b">
        <f t="shared" si="4"/>
        <v>0</v>
      </c>
      <c r="H312" s="18"/>
    </row>
    <row r="313" spans="1:8" ht="15" customHeight="1" x14ac:dyDescent="0.2">
      <c r="A313" s="3">
        <v>63</v>
      </c>
      <c r="B313" s="3" t="s">
        <v>2</v>
      </c>
      <c r="C313" s="8" t="s">
        <v>1079</v>
      </c>
      <c r="D313" s="3" t="s">
        <v>8</v>
      </c>
      <c r="F313" s="2" t="b">
        <f t="shared" si="4"/>
        <v>0</v>
      </c>
      <c r="H313" s="18"/>
    </row>
    <row r="314" spans="1:8" ht="15" customHeight="1" x14ac:dyDescent="0.2">
      <c r="A314" s="3">
        <v>63</v>
      </c>
      <c r="B314" s="3" t="s">
        <v>3</v>
      </c>
      <c r="C314" s="8" t="s">
        <v>1080</v>
      </c>
      <c r="D314" s="3" t="s">
        <v>7</v>
      </c>
      <c r="F314" s="2" t="b">
        <f t="shared" si="4"/>
        <v>0</v>
      </c>
      <c r="H314" s="18"/>
    </row>
    <row r="315" spans="1:8" ht="34.5" customHeight="1" x14ac:dyDescent="0.2">
      <c r="A315" s="3">
        <v>64</v>
      </c>
      <c r="B315" s="18" t="s">
        <v>1081</v>
      </c>
      <c r="C315" s="18"/>
      <c r="D315" s="18"/>
      <c r="E315" s="18"/>
      <c r="F315" s="18"/>
    </row>
    <row r="316" spans="1:8" ht="15" customHeight="1" x14ac:dyDescent="0.2">
      <c r="A316" s="3">
        <v>64</v>
      </c>
      <c r="B316" s="3" t="s">
        <v>0</v>
      </c>
      <c r="C316" s="8" t="s">
        <v>34</v>
      </c>
      <c r="D316" s="3" t="s">
        <v>7</v>
      </c>
      <c r="F316" s="2" t="b">
        <f t="shared" si="4"/>
        <v>0</v>
      </c>
      <c r="H316" s="18" t="s">
        <v>1082</v>
      </c>
    </row>
    <row r="317" spans="1:8" ht="15" customHeight="1" x14ac:dyDescent="0.2">
      <c r="A317" s="3">
        <v>64</v>
      </c>
      <c r="B317" s="3" t="s">
        <v>1</v>
      </c>
      <c r="C317" s="8" t="s">
        <v>1083</v>
      </c>
      <c r="D317" s="3" t="s">
        <v>7</v>
      </c>
      <c r="F317" s="2" t="b">
        <f t="shared" si="4"/>
        <v>0</v>
      </c>
      <c r="H317" s="18"/>
    </row>
    <row r="318" spans="1:8" ht="15" customHeight="1" x14ac:dyDescent="0.2">
      <c r="A318" s="3">
        <v>64</v>
      </c>
      <c r="B318" s="3" t="s">
        <v>2</v>
      </c>
      <c r="C318" s="8" t="s">
        <v>1084</v>
      </c>
      <c r="D318" s="3" t="s">
        <v>8</v>
      </c>
      <c r="F318" s="2" t="b">
        <f t="shared" si="4"/>
        <v>0</v>
      </c>
      <c r="H318" s="18"/>
    </row>
    <row r="319" spans="1:8" ht="15" customHeight="1" x14ac:dyDescent="0.2">
      <c r="A319" s="3">
        <v>64</v>
      </c>
      <c r="B319" s="3" t="s">
        <v>3</v>
      </c>
      <c r="C319" s="8" t="s">
        <v>1085</v>
      </c>
      <c r="D319" s="3" t="s">
        <v>7</v>
      </c>
      <c r="F319" s="2" t="b">
        <f t="shared" si="4"/>
        <v>0</v>
      </c>
      <c r="H319" s="18"/>
    </row>
    <row r="320" spans="1:8" ht="15" customHeight="1" x14ac:dyDescent="0.2">
      <c r="A320" s="3">
        <v>65</v>
      </c>
      <c r="B320" s="19" t="s">
        <v>1086</v>
      </c>
      <c r="C320" s="19"/>
      <c r="D320" s="19"/>
      <c r="E320" s="19"/>
      <c r="F320" s="19"/>
    </row>
    <row r="321" spans="1:8" ht="15" customHeight="1" x14ac:dyDescent="0.2">
      <c r="A321" s="3">
        <v>65</v>
      </c>
      <c r="B321" s="3" t="s">
        <v>0</v>
      </c>
      <c r="C321" s="8" t="s">
        <v>1088</v>
      </c>
      <c r="D321" s="3" t="s">
        <v>7</v>
      </c>
      <c r="F321" s="2" t="b">
        <f t="shared" si="4"/>
        <v>0</v>
      </c>
      <c r="H321" s="18" t="s">
        <v>1087</v>
      </c>
    </row>
    <row r="322" spans="1:8" ht="15" customHeight="1" x14ac:dyDescent="0.2">
      <c r="A322" s="3">
        <v>65</v>
      </c>
      <c r="B322" s="3" t="s">
        <v>1</v>
      </c>
      <c r="C322" s="8" t="s">
        <v>42</v>
      </c>
      <c r="D322" s="3" t="s">
        <v>7</v>
      </c>
      <c r="F322" s="2" t="b">
        <f t="shared" si="4"/>
        <v>0</v>
      </c>
      <c r="H322" s="18"/>
    </row>
    <row r="323" spans="1:8" ht="15" customHeight="1" x14ac:dyDescent="0.2">
      <c r="A323" s="3">
        <v>65</v>
      </c>
      <c r="B323" s="3" t="s">
        <v>2</v>
      </c>
      <c r="C323" s="8" t="s">
        <v>1089</v>
      </c>
      <c r="D323" s="3" t="s">
        <v>8</v>
      </c>
      <c r="F323" s="2" t="b">
        <f t="shared" si="4"/>
        <v>0</v>
      </c>
      <c r="H323" s="18"/>
    </row>
    <row r="324" spans="1:8" ht="15" customHeight="1" x14ac:dyDescent="0.2">
      <c r="A324" s="3">
        <v>65</v>
      </c>
      <c r="B324" s="3" t="s">
        <v>3</v>
      </c>
      <c r="C324" s="8" t="s">
        <v>1090</v>
      </c>
      <c r="D324" s="3" t="s">
        <v>7</v>
      </c>
      <c r="F324" s="2" t="b">
        <f t="shared" ref="F324" si="5">D324=E324</f>
        <v>0</v>
      </c>
      <c r="H324" s="18"/>
    </row>
  </sheetData>
  <mergeCells count="131">
    <mergeCell ref="H316:H319"/>
    <mergeCell ref="B320:F320"/>
    <mergeCell ref="H321:H324"/>
    <mergeCell ref="H301:H304"/>
    <mergeCell ref="B305:F305"/>
    <mergeCell ref="H306:H309"/>
    <mergeCell ref="B310:F310"/>
    <mergeCell ref="H311:H314"/>
    <mergeCell ref="B315:F315"/>
    <mergeCell ref="H286:H289"/>
    <mergeCell ref="B290:F290"/>
    <mergeCell ref="H291:H294"/>
    <mergeCell ref="B295:F295"/>
    <mergeCell ref="H296:H299"/>
    <mergeCell ref="B300:F300"/>
    <mergeCell ref="H271:H274"/>
    <mergeCell ref="B275:F275"/>
    <mergeCell ref="H276:H279"/>
    <mergeCell ref="B280:F280"/>
    <mergeCell ref="H281:H284"/>
    <mergeCell ref="B285:F285"/>
    <mergeCell ref="H255:H259"/>
    <mergeCell ref="B260:F260"/>
    <mergeCell ref="H261:H264"/>
    <mergeCell ref="B265:F265"/>
    <mergeCell ref="H266:H269"/>
    <mergeCell ref="B270:F270"/>
    <mergeCell ref="H240:H243"/>
    <mergeCell ref="B244:F244"/>
    <mergeCell ref="H245:H248"/>
    <mergeCell ref="B249:F249"/>
    <mergeCell ref="H250:H253"/>
    <mergeCell ref="B254:F254"/>
    <mergeCell ref="H227:H228"/>
    <mergeCell ref="B229:F229"/>
    <mergeCell ref="H230:H233"/>
    <mergeCell ref="B234:F234"/>
    <mergeCell ref="H235:H238"/>
    <mergeCell ref="B239:F239"/>
    <mergeCell ref="H211:H214"/>
    <mergeCell ref="B215:F215"/>
    <mergeCell ref="H216:H219"/>
    <mergeCell ref="B220:F220"/>
    <mergeCell ref="H221:H225"/>
    <mergeCell ref="B226:F226"/>
    <mergeCell ref="H196:H199"/>
    <mergeCell ref="B200:F200"/>
    <mergeCell ref="H201:H204"/>
    <mergeCell ref="B205:F205"/>
    <mergeCell ref="H206:H209"/>
    <mergeCell ref="B210:F210"/>
    <mergeCell ref="H180:H184"/>
    <mergeCell ref="B185:F185"/>
    <mergeCell ref="H186:H189"/>
    <mergeCell ref="B190:F190"/>
    <mergeCell ref="H191:H194"/>
    <mergeCell ref="B195:F195"/>
    <mergeCell ref="H165:H168"/>
    <mergeCell ref="B169:F169"/>
    <mergeCell ref="H170:H173"/>
    <mergeCell ref="B174:F174"/>
    <mergeCell ref="H175:H178"/>
    <mergeCell ref="B179:F179"/>
    <mergeCell ref="H152:H155"/>
    <mergeCell ref="B156:F156"/>
    <mergeCell ref="H157:H160"/>
    <mergeCell ref="B161:F161"/>
    <mergeCell ref="H162:H163"/>
    <mergeCell ref="B164:F164"/>
    <mergeCell ref="H137:H140"/>
    <mergeCell ref="B141:F141"/>
    <mergeCell ref="H142:H145"/>
    <mergeCell ref="B146:F146"/>
    <mergeCell ref="H147:H150"/>
    <mergeCell ref="B151:F151"/>
    <mergeCell ref="H122:H125"/>
    <mergeCell ref="B126:F126"/>
    <mergeCell ref="H127:H130"/>
    <mergeCell ref="B131:F131"/>
    <mergeCell ref="H132:H135"/>
    <mergeCell ref="B136:F136"/>
    <mergeCell ref="H107:H110"/>
    <mergeCell ref="B111:F111"/>
    <mergeCell ref="H112:H115"/>
    <mergeCell ref="B116:F116"/>
    <mergeCell ref="H117:H120"/>
    <mergeCell ref="B121:F121"/>
    <mergeCell ref="H92:H95"/>
    <mergeCell ref="B96:F96"/>
    <mergeCell ref="H97:H100"/>
    <mergeCell ref="B101:F101"/>
    <mergeCell ref="H102:H105"/>
    <mergeCell ref="B106:F106"/>
    <mergeCell ref="H77:H80"/>
    <mergeCell ref="B81:F81"/>
    <mergeCell ref="H82:H85"/>
    <mergeCell ref="B86:F86"/>
    <mergeCell ref="H87:H90"/>
    <mergeCell ref="B91:F91"/>
    <mergeCell ref="H62:H65"/>
    <mergeCell ref="B66:F66"/>
    <mergeCell ref="H67:H70"/>
    <mergeCell ref="B71:F71"/>
    <mergeCell ref="H72:H75"/>
    <mergeCell ref="B76:F76"/>
    <mergeCell ref="H49:H52"/>
    <mergeCell ref="B53:F53"/>
    <mergeCell ref="H54:H57"/>
    <mergeCell ref="B58:F58"/>
    <mergeCell ref="H59:H60"/>
    <mergeCell ref="B61:F61"/>
    <mergeCell ref="H34:H37"/>
    <mergeCell ref="B38:F38"/>
    <mergeCell ref="H39:H42"/>
    <mergeCell ref="B43:F43"/>
    <mergeCell ref="H44:H47"/>
    <mergeCell ref="B48:F48"/>
    <mergeCell ref="A1:C1"/>
    <mergeCell ref="B2:F2"/>
    <mergeCell ref="H19:H22"/>
    <mergeCell ref="B23:F23"/>
    <mergeCell ref="H24:H27"/>
    <mergeCell ref="B28:F28"/>
    <mergeCell ref="H29:H32"/>
    <mergeCell ref="B33:F33"/>
    <mergeCell ref="H3:H6"/>
    <mergeCell ref="B7:F7"/>
    <mergeCell ref="H8:H11"/>
    <mergeCell ref="B12:F12"/>
    <mergeCell ref="H13:H17"/>
    <mergeCell ref="B18:F18"/>
  </mergeCells>
  <conditionalFormatting sqref="F3:F6 F8:F11 F13:F17 F19:F22 F24:F27 F29:F32 F34:F37 F39:F42 F44:F47 F49:F52 F54:F57 F59:F60 F62:F65 F67:F70 F72:F75 F77:F80 F82:F85 F87:F90 F92:F95 F97:F100 F102:F105 F107:F110 F112:F115 F117:F120 F122:F125 F127:F130 F132:F135 F137:F140 F142:F145 F147:F150 F152:F155 F157:F160 F162:F163 F165:F168 F170:F173 F175:F178 F180:F184 F186:F189 F191:F194 F196:F199 F201:F204 F206:F209 F211:F214 F216:F219 F221:F225 F227:F228 F230:F233 F235:F238 F240:F243 F245:F248 F250:F253 F255:F259 F261:F264 F266:F269 F271:F274 F276:F279 F281:F284 F286:F289 F291:F294 F296:F299 F301:F304 F306:F309 F311:F314 F316:F319 F321:F324">
    <cfRule type="cellIs" dxfId="71" priority="1" operator="equal">
      <formula>FALSE</formula>
    </cfRule>
    <cfRule type="cellIs" dxfId="70" priority="2" operator="equal">
      <formula>TRUE</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1"/>
  <sheetViews>
    <sheetView workbookViewId="0">
      <selection sqref="A1:C1"/>
    </sheetView>
  </sheetViews>
  <sheetFormatPr baseColWidth="10" defaultColWidth="8.83203125" defaultRowHeight="15" x14ac:dyDescent="0.2"/>
  <cols>
    <col min="1" max="1" width="3.6640625" style="3" customWidth="1"/>
    <col min="2" max="2" width="5.6640625" style="3" customWidth="1"/>
    <col min="3" max="3" width="58.5" style="8" customWidth="1"/>
    <col min="4" max="4" width="7.5" style="2" hidden="1" customWidth="1"/>
    <col min="5" max="5" width="9.6640625" style="2" customWidth="1"/>
    <col min="6" max="6" width="14.33203125" style="2" customWidth="1"/>
    <col min="7" max="7" width="3.6640625" style="2" customWidth="1"/>
    <col min="8" max="8" width="136.1640625" style="3" customWidth="1"/>
  </cols>
  <sheetData>
    <row r="1" spans="1:8" x14ac:dyDescent="0.2">
      <c r="A1" s="20" t="s">
        <v>24</v>
      </c>
      <c r="B1" s="20"/>
      <c r="C1" s="20"/>
      <c r="D1" s="5"/>
      <c r="E1" s="5" t="s">
        <v>26</v>
      </c>
      <c r="F1" s="5" t="s">
        <v>25</v>
      </c>
      <c r="H1" s="4" t="s">
        <v>424</v>
      </c>
    </row>
    <row r="2" spans="1:8" ht="33.75" customHeight="1" x14ac:dyDescent="0.2">
      <c r="A2" s="3">
        <v>1</v>
      </c>
      <c r="B2" s="18" t="s">
        <v>375</v>
      </c>
      <c r="C2" s="18"/>
      <c r="D2" s="18"/>
      <c r="E2" s="18"/>
      <c r="F2" s="18"/>
    </row>
    <row r="3" spans="1:8" ht="14.25" customHeight="1" x14ac:dyDescent="0.2">
      <c r="A3" s="3">
        <v>1</v>
      </c>
      <c r="B3" s="3" t="s">
        <v>0</v>
      </c>
      <c r="C3" s="1" t="s">
        <v>376</v>
      </c>
      <c r="D3" s="2" t="s">
        <v>8</v>
      </c>
      <c r="F3" s="2" t="b">
        <f>D3=E3</f>
        <v>0</v>
      </c>
      <c r="H3" s="18" t="s">
        <v>380</v>
      </c>
    </row>
    <row r="4" spans="1:8" ht="13.5" customHeight="1" x14ac:dyDescent="0.2">
      <c r="A4" s="3">
        <v>1</v>
      </c>
      <c r="B4" s="3" t="s">
        <v>1</v>
      </c>
      <c r="C4" s="6" t="s">
        <v>377</v>
      </c>
      <c r="D4" s="2" t="s">
        <v>7</v>
      </c>
      <c r="F4" s="2" t="b">
        <f t="shared" ref="F4:F5" si="0">D4=E4</f>
        <v>0</v>
      </c>
      <c r="H4" s="19"/>
    </row>
    <row r="5" spans="1:8" ht="12" customHeight="1" x14ac:dyDescent="0.2">
      <c r="A5" s="3">
        <v>1</v>
      </c>
      <c r="B5" s="3" t="s">
        <v>2</v>
      </c>
      <c r="C5" s="1" t="s">
        <v>378</v>
      </c>
      <c r="D5" s="2" t="s">
        <v>7</v>
      </c>
      <c r="F5" s="2" t="b">
        <f t="shared" si="0"/>
        <v>0</v>
      </c>
      <c r="H5" s="19"/>
    </row>
    <row r="6" spans="1:8" ht="25.5" customHeight="1" x14ac:dyDescent="0.2">
      <c r="A6" s="3">
        <v>1</v>
      </c>
      <c r="B6" s="3" t="s">
        <v>3</v>
      </c>
      <c r="C6" s="7" t="s">
        <v>379</v>
      </c>
      <c r="D6" s="2" t="s">
        <v>7</v>
      </c>
      <c r="F6" s="2" t="b">
        <f>D6=E6</f>
        <v>0</v>
      </c>
      <c r="H6" s="19"/>
    </row>
    <row r="7" spans="1:8" ht="33" customHeight="1" x14ac:dyDescent="0.2">
      <c r="A7" s="3">
        <v>2</v>
      </c>
      <c r="B7" s="18" t="s">
        <v>381</v>
      </c>
      <c r="C7" s="18"/>
      <c r="D7" s="18"/>
      <c r="E7" s="18"/>
      <c r="F7" s="18"/>
    </row>
    <row r="8" spans="1:8" ht="15" customHeight="1" x14ac:dyDescent="0.2">
      <c r="A8" s="3">
        <v>2</v>
      </c>
      <c r="B8" s="3" t="s">
        <v>0</v>
      </c>
      <c r="C8" s="1" t="s">
        <v>382</v>
      </c>
      <c r="D8" s="2" t="s">
        <v>8</v>
      </c>
      <c r="F8" s="2" t="b">
        <f t="shared" ref="F8:F45" si="1">D8=E8</f>
        <v>0</v>
      </c>
      <c r="H8" s="18" t="s">
        <v>386</v>
      </c>
    </row>
    <row r="9" spans="1:8" x14ac:dyDescent="0.2">
      <c r="A9" s="3">
        <v>2</v>
      </c>
      <c r="B9" s="3" t="s">
        <v>1</v>
      </c>
      <c r="C9" s="7" t="s">
        <v>383</v>
      </c>
      <c r="D9" s="2" t="s">
        <v>7</v>
      </c>
      <c r="F9" s="2" t="b">
        <f t="shared" si="1"/>
        <v>0</v>
      </c>
      <c r="H9" s="19"/>
    </row>
    <row r="10" spans="1:8" x14ac:dyDescent="0.2">
      <c r="A10" s="3">
        <v>2</v>
      </c>
      <c r="B10" s="3" t="s">
        <v>2</v>
      </c>
      <c r="C10" s="7" t="s">
        <v>384</v>
      </c>
      <c r="D10" s="2" t="s">
        <v>7</v>
      </c>
      <c r="F10" s="2" t="b">
        <f t="shared" si="1"/>
        <v>0</v>
      </c>
      <c r="H10" s="19"/>
    </row>
    <row r="11" spans="1:8" x14ac:dyDescent="0.2">
      <c r="A11" s="3">
        <v>2</v>
      </c>
      <c r="B11" s="3" t="s">
        <v>3</v>
      </c>
      <c r="C11" s="7" t="s">
        <v>385</v>
      </c>
      <c r="D11" s="2" t="s">
        <v>7</v>
      </c>
      <c r="F11" s="2" t="b">
        <f t="shared" si="1"/>
        <v>0</v>
      </c>
      <c r="H11" s="19"/>
    </row>
    <row r="12" spans="1:8" ht="25.5" customHeight="1" x14ac:dyDescent="0.2">
      <c r="A12" s="3">
        <v>3</v>
      </c>
      <c r="B12" s="18" t="s">
        <v>387</v>
      </c>
      <c r="C12" s="18"/>
      <c r="D12" s="18"/>
      <c r="E12" s="18"/>
      <c r="F12" s="18"/>
    </row>
    <row r="13" spans="1:8" x14ac:dyDescent="0.2">
      <c r="A13" s="3">
        <v>3</v>
      </c>
      <c r="B13" s="3" t="s">
        <v>0</v>
      </c>
      <c r="C13" s="1" t="s">
        <v>388</v>
      </c>
      <c r="D13" s="2" t="s">
        <v>7</v>
      </c>
      <c r="F13" s="2" t="b">
        <f t="shared" si="1"/>
        <v>0</v>
      </c>
      <c r="H13" s="18" t="s">
        <v>392</v>
      </c>
    </row>
    <row r="14" spans="1:8" x14ac:dyDescent="0.2">
      <c r="A14" s="3">
        <v>3</v>
      </c>
      <c r="B14" s="3" t="s">
        <v>1</v>
      </c>
      <c r="C14" s="1" t="s">
        <v>389</v>
      </c>
      <c r="D14" s="2" t="s">
        <v>7</v>
      </c>
      <c r="F14" s="2" t="b">
        <f t="shared" si="1"/>
        <v>0</v>
      </c>
      <c r="H14" s="19"/>
    </row>
    <row r="15" spans="1:8" x14ac:dyDescent="0.2">
      <c r="A15" s="3">
        <v>3</v>
      </c>
      <c r="B15" s="3" t="s">
        <v>2</v>
      </c>
      <c r="C15" s="1" t="s">
        <v>390</v>
      </c>
      <c r="D15" s="2" t="s">
        <v>8</v>
      </c>
      <c r="F15" s="2" t="b">
        <f t="shared" si="1"/>
        <v>0</v>
      </c>
      <c r="H15" s="19"/>
    </row>
    <row r="16" spans="1:8" x14ac:dyDescent="0.2">
      <c r="A16" s="3">
        <v>3</v>
      </c>
      <c r="B16" s="3" t="s">
        <v>3</v>
      </c>
      <c r="C16" s="1" t="s">
        <v>23</v>
      </c>
      <c r="D16" s="2" t="s">
        <v>7</v>
      </c>
      <c r="F16" s="2" t="b">
        <f t="shared" si="1"/>
        <v>0</v>
      </c>
      <c r="H16" s="19"/>
    </row>
    <row r="17" spans="1:8" x14ac:dyDescent="0.2">
      <c r="A17" s="3">
        <v>3</v>
      </c>
      <c r="B17" s="3" t="s">
        <v>6</v>
      </c>
      <c r="C17" s="1" t="s">
        <v>391</v>
      </c>
      <c r="D17" s="2" t="s">
        <v>7</v>
      </c>
      <c r="F17" s="2" t="b">
        <f t="shared" si="1"/>
        <v>0</v>
      </c>
      <c r="H17" s="19"/>
    </row>
    <row r="18" spans="1:8" ht="35.25" customHeight="1" x14ac:dyDescent="0.2">
      <c r="A18" s="3">
        <v>4</v>
      </c>
      <c r="B18" s="18" t="s">
        <v>393</v>
      </c>
      <c r="C18" s="18"/>
      <c r="D18" s="18"/>
      <c r="E18" s="18"/>
      <c r="F18" s="18"/>
    </row>
    <row r="19" spans="1:8" x14ac:dyDescent="0.2">
      <c r="A19" s="3">
        <v>4</v>
      </c>
      <c r="B19" s="3" t="s">
        <v>0</v>
      </c>
      <c r="C19" s="1" t="s">
        <v>394</v>
      </c>
      <c r="D19" s="2" t="s">
        <v>8</v>
      </c>
      <c r="F19" s="2" t="b">
        <f t="shared" si="1"/>
        <v>0</v>
      </c>
      <c r="H19" s="18" t="s">
        <v>398</v>
      </c>
    </row>
    <row r="20" spans="1:8" x14ac:dyDescent="0.2">
      <c r="A20" s="3">
        <v>4</v>
      </c>
      <c r="B20" s="3" t="s">
        <v>1</v>
      </c>
      <c r="C20" s="1" t="s">
        <v>395</v>
      </c>
      <c r="D20" s="2" t="s">
        <v>7</v>
      </c>
      <c r="F20" s="2" t="b">
        <f t="shared" si="1"/>
        <v>0</v>
      </c>
      <c r="H20" s="19"/>
    </row>
    <row r="21" spans="1:8" x14ac:dyDescent="0.2">
      <c r="A21" s="3">
        <v>4</v>
      </c>
      <c r="B21" s="3" t="s">
        <v>2</v>
      </c>
      <c r="C21" s="1" t="s">
        <v>396</v>
      </c>
      <c r="D21" s="2" t="s">
        <v>7</v>
      </c>
      <c r="F21" s="2" t="b">
        <f t="shared" si="1"/>
        <v>0</v>
      </c>
      <c r="H21" s="19"/>
    </row>
    <row r="22" spans="1:8" x14ac:dyDescent="0.2">
      <c r="A22" s="3">
        <v>4</v>
      </c>
      <c r="B22" s="3" t="s">
        <v>3</v>
      </c>
      <c r="C22" s="1" t="s">
        <v>397</v>
      </c>
      <c r="D22" s="2" t="s">
        <v>7</v>
      </c>
      <c r="F22" s="2" t="b">
        <f t="shared" si="1"/>
        <v>0</v>
      </c>
      <c r="H22" s="19"/>
    </row>
    <row r="23" spans="1:8" ht="72.75" customHeight="1" x14ac:dyDescent="0.2">
      <c r="A23" s="3">
        <v>5</v>
      </c>
      <c r="B23" s="18" t="s">
        <v>399</v>
      </c>
      <c r="C23" s="18"/>
      <c r="D23" s="18"/>
      <c r="E23" s="18"/>
      <c r="F23" s="18"/>
    </row>
    <row r="24" spans="1:8" x14ac:dyDescent="0.2">
      <c r="A24" s="3">
        <v>5</v>
      </c>
      <c r="B24" s="3" t="s">
        <v>0</v>
      </c>
      <c r="C24" s="1" t="s">
        <v>400</v>
      </c>
      <c r="D24" s="2" t="s">
        <v>8</v>
      </c>
      <c r="F24" s="2" t="b">
        <f t="shared" si="1"/>
        <v>0</v>
      </c>
      <c r="H24" s="18" t="s">
        <v>404</v>
      </c>
    </row>
    <row r="25" spans="1:8" x14ac:dyDescent="0.2">
      <c r="A25" s="3">
        <v>5</v>
      </c>
      <c r="B25" s="3" t="s">
        <v>1</v>
      </c>
      <c r="C25" s="1" t="s">
        <v>401</v>
      </c>
      <c r="D25" s="2" t="s">
        <v>7</v>
      </c>
      <c r="F25" s="2" t="b">
        <f t="shared" si="1"/>
        <v>0</v>
      </c>
      <c r="H25" s="19"/>
    </row>
    <row r="26" spans="1:8" x14ac:dyDescent="0.2">
      <c r="A26" s="3">
        <v>5</v>
      </c>
      <c r="B26" s="3" t="s">
        <v>2</v>
      </c>
      <c r="C26" s="1" t="s">
        <v>402</v>
      </c>
      <c r="D26" s="2" t="s">
        <v>7</v>
      </c>
      <c r="F26" s="2" t="b">
        <f t="shared" si="1"/>
        <v>0</v>
      </c>
      <c r="H26" s="19"/>
    </row>
    <row r="27" spans="1:8" x14ac:dyDescent="0.2">
      <c r="A27" s="3">
        <v>5</v>
      </c>
      <c r="B27" s="3" t="s">
        <v>3</v>
      </c>
      <c r="C27" s="1" t="s">
        <v>403</v>
      </c>
      <c r="D27" s="2" t="s">
        <v>7</v>
      </c>
      <c r="F27" s="2" t="b">
        <f t="shared" si="1"/>
        <v>0</v>
      </c>
      <c r="H27" s="19"/>
    </row>
    <row r="28" spans="1:8" ht="28.5" customHeight="1" x14ac:dyDescent="0.2">
      <c r="A28" s="3">
        <v>6</v>
      </c>
      <c r="B28" s="18" t="s">
        <v>405</v>
      </c>
      <c r="C28" s="18"/>
      <c r="D28" s="18"/>
      <c r="E28" s="18"/>
      <c r="F28" s="18"/>
    </row>
    <row r="29" spans="1:8" x14ac:dyDescent="0.2">
      <c r="A29" s="3">
        <v>6</v>
      </c>
      <c r="B29" s="3" t="s">
        <v>0</v>
      </c>
      <c r="C29" s="1" t="s">
        <v>406</v>
      </c>
      <c r="D29" s="2" t="s">
        <v>7</v>
      </c>
      <c r="F29" s="2" t="b">
        <f t="shared" si="1"/>
        <v>0</v>
      </c>
      <c r="H29" s="18" t="s">
        <v>409</v>
      </c>
    </row>
    <row r="30" spans="1:8" x14ac:dyDescent="0.2">
      <c r="A30" s="3">
        <v>6</v>
      </c>
      <c r="B30" s="3" t="s">
        <v>1</v>
      </c>
      <c r="C30" s="1" t="s">
        <v>407</v>
      </c>
      <c r="D30" s="2" t="s">
        <v>8</v>
      </c>
      <c r="F30" s="2" t="b">
        <f t="shared" si="1"/>
        <v>0</v>
      </c>
      <c r="H30" s="19"/>
    </row>
    <row r="31" spans="1:8" x14ac:dyDescent="0.2">
      <c r="A31" s="3">
        <v>6</v>
      </c>
      <c r="B31" s="3" t="s">
        <v>2</v>
      </c>
      <c r="C31" s="1" t="s">
        <v>408</v>
      </c>
      <c r="D31" s="2" t="s">
        <v>7</v>
      </c>
      <c r="F31" s="2" t="b">
        <f t="shared" si="1"/>
        <v>0</v>
      </c>
      <c r="H31" s="19"/>
    </row>
    <row r="32" spans="1:8" x14ac:dyDescent="0.2">
      <c r="A32" s="3">
        <v>6</v>
      </c>
      <c r="B32" s="3" t="s">
        <v>3</v>
      </c>
      <c r="C32" s="1" t="s">
        <v>394</v>
      </c>
      <c r="D32" s="2" t="s">
        <v>7</v>
      </c>
      <c r="F32" s="2" t="b">
        <f t="shared" si="1"/>
        <v>0</v>
      </c>
      <c r="H32" s="19"/>
    </row>
    <row r="33" spans="1:8" ht="41.25" customHeight="1" x14ac:dyDescent="0.2">
      <c r="A33" s="3">
        <v>7</v>
      </c>
      <c r="B33" s="18" t="s">
        <v>410</v>
      </c>
      <c r="C33" s="18"/>
      <c r="D33" s="18"/>
      <c r="E33" s="18"/>
      <c r="F33" s="18"/>
    </row>
    <row r="34" spans="1:8" x14ac:dyDescent="0.2">
      <c r="A34" s="3">
        <v>7</v>
      </c>
      <c r="B34" s="3" t="s">
        <v>0</v>
      </c>
      <c r="C34" s="6" t="b">
        <v>0</v>
      </c>
      <c r="D34" s="2" t="s">
        <v>8</v>
      </c>
      <c r="F34" s="2" t="b">
        <f t="shared" si="1"/>
        <v>0</v>
      </c>
      <c r="H34" s="18" t="s">
        <v>411</v>
      </c>
    </row>
    <row r="35" spans="1:8" x14ac:dyDescent="0.2">
      <c r="A35" s="3">
        <v>7</v>
      </c>
      <c r="B35" s="3" t="s">
        <v>1</v>
      </c>
      <c r="C35" s="6" t="b">
        <v>1</v>
      </c>
      <c r="D35" s="2" t="s">
        <v>7</v>
      </c>
      <c r="F35" s="2" t="b">
        <f t="shared" si="1"/>
        <v>0</v>
      </c>
      <c r="H35" s="19"/>
    </row>
    <row r="36" spans="1:8" ht="48.75" customHeight="1" x14ac:dyDescent="0.2">
      <c r="A36" s="3">
        <v>8</v>
      </c>
      <c r="B36" s="18" t="s">
        <v>412</v>
      </c>
      <c r="C36" s="18"/>
      <c r="D36" s="18"/>
      <c r="E36" s="18"/>
      <c r="F36" s="18"/>
    </row>
    <row r="37" spans="1:8" x14ac:dyDescent="0.2">
      <c r="A37" s="3">
        <v>8</v>
      </c>
      <c r="B37" s="3" t="s">
        <v>0</v>
      </c>
      <c r="C37" s="1" t="s">
        <v>413</v>
      </c>
      <c r="D37" s="2" t="s">
        <v>8</v>
      </c>
      <c r="F37" s="2" t="b">
        <f t="shared" si="1"/>
        <v>0</v>
      </c>
      <c r="H37" s="18" t="s">
        <v>417</v>
      </c>
    </row>
    <row r="38" spans="1:8" x14ac:dyDescent="0.2">
      <c r="A38" s="3">
        <v>8</v>
      </c>
      <c r="B38" s="3" t="s">
        <v>1</v>
      </c>
      <c r="C38" s="1" t="s">
        <v>414</v>
      </c>
      <c r="D38" s="2" t="s">
        <v>7</v>
      </c>
      <c r="F38" s="2" t="b">
        <f t="shared" si="1"/>
        <v>0</v>
      </c>
      <c r="H38" s="19"/>
    </row>
    <row r="39" spans="1:8" x14ac:dyDescent="0.2">
      <c r="A39" s="3">
        <v>8</v>
      </c>
      <c r="B39" s="3" t="s">
        <v>2</v>
      </c>
      <c r="C39" s="1" t="s">
        <v>415</v>
      </c>
      <c r="D39" s="2" t="s">
        <v>7</v>
      </c>
      <c r="F39" s="2" t="b">
        <f t="shared" si="1"/>
        <v>0</v>
      </c>
      <c r="H39" s="19"/>
    </row>
    <row r="40" spans="1:8" x14ac:dyDescent="0.2">
      <c r="A40" s="3">
        <v>8</v>
      </c>
      <c r="B40" s="3" t="s">
        <v>3</v>
      </c>
      <c r="C40" s="1" t="s">
        <v>416</v>
      </c>
      <c r="D40" s="2" t="s">
        <v>7</v>
      </c>
      <c r="F40" s="2" t="b">
        <f t="shared" si="1"/>
        <v>0</v>
      </c>
      <c r="H40" s="19"/>
    </row>
    <row r="41" spans="1:8" ht="31.5" customHeight="1" x14ac:dyDescent="0.2">
      <c r="A41" s="3">
        <v>9</v>
      </c>
      <c r="B41" s="18" t="s">
        <v>418</v>
      </c>
      <c r="C41" s="18"/>
      <c r="D41" s="18"/>
      <c r="E41" s="18"/>
      <c r="F41" s="18"/>
    </row>
    <row r="42" spans="1:8" x14ac:dyDescent="0.2">
      <c r="A42" s="3">
        <v>9</v>
      </c>
      <c r="B42" s="3" t="s">
        <v>0</v>
      </c>
      <c r="C42" s="1" t="s">
        <v>419</v>
      </c>
      <c r="D42" s="2" t="s">
        <v>8</v>
      </c>
      <c r="F42" s="2" t="b">
        <f t="shared" si="1"/>
        <v>0</v>
      </c>
      <c r="H42" s="18" t="s">
        <v>423</v>
      </c>
    </row>
    <row r="43" spans="1:8" x14ac:dyDescent="0.2">
      <c r="A43" s="3">
        <v>9</v>
      </c>
      <c r="B43" s="3" t="s">
        <v>1</v>
      </c>
      <c r="C43" s="1" t="s">
        <v>420</v>
      </c>
      <c r="D43" s="2" t="s">
        <v>7</v>
      </c>
      <c r="F43" s="2" t="b">
        <f t="shared" si="1"/>
        <v>0</v>
      </c>
      <c r="H43" s="19"/>
    </row>
    <row r="44" spans="1:8" x14ac:dyDescent="0.2">
      <c r="A44" s="3">
        <v>9</v>
      </c>
      <c r="B44" s="3" t="s">
        <v>2</v>
      </c>
      <c r="C44" s="1" t="s">
        <v>421</v>
      </c>
      <c r="D44" s="2" t="s">
        <v>7</v>
      </c>
      <c r="F44" s="2" t="b">
        <f t="shared" si="1"/>
        <v>0</v>
      </c>
      <c r="H44" s="19"/>
    </row>
    <row r="45" spans="1:8" x14ac:dyDescent="0.2">
      <c r="A45" s="3">
        <v>9</v>
      </c>
      <c r="B45" s="3" t="s">
        <v>3</v>
      </c>
      <c r="C45" s="1" t="s">
        <v>422</v>
      </c>
      <c r="D45" s="2" t="s">
        <v>7</v>
      </c>
      <c r="F45" s="2" t="b">
        <f t="shared" si="1"/>
        <v>0</v>
      </c>
      <c r="H45" s="19"/>
    </row>
    <row r="294" spans="2:8" x14ac:dyDescent="0.2">
      <c r="H294" s="18"/>
    </row>
    <row r="295" spans="2:8" x14ac:dyDescent="0.2">
      <c r="H295" s="18"/>
    </row>
    <row r="296" spans="2:8" x14ac:dyDescent="0.2">
      <c r="H296" s="18"/>
    </row>
    <row r="297" spans="2:8" x14ac:dyDescent="0.2">
      <c r="H297" s="18"/>
    </row>
    <row r="298" spans="2:8" ht="30.75" customHeight="1" x14ac:dyDescent="0.2">
      <c r="B298" s="18"/>
      <c r="C298" s="18"/>
      <c r="D298" s="18"/>
      <c r="E298" s="18"/>
      <c r="F298" s="18"/>
    </row>
    <row r="299" spans="2:8" x14ac:dyDescent="0.2">
      <c r="H299" s="18"/>
    </row>
    <row r="300" spans="2:8" x14ac:dyDescent="0.2">
      <c r="H300" s="18"/>
    </row>
    <row r="301" spans="2:8" x14ac:dyDescent="0.2">
      <c r="H301" s="18"/>
    </row>
    <row r="302" spans="2:8" x14ac:dyDescent="0.2">
      <c r="H302" s="18"/>
    </row>
    <row r="303" spans="2:8" ht="33" customHeight="1" x14ac:dyDescent="0.2">
      <c r="B303" s="18"/>
      <c r="C303" s="18"/>
      <c r="D303" s="18"/>
      <c r="E303" s="18"/>
      <c r="F303" s="18"/>
    </row>
    <row r="304" spans="2:8" x14ac:dyDescent="0.2">
      <c r="H304" s="18"/>
    </row>
    <row r="305" spans="2:8" x14ac:dyDescent="0.2">
      <c r="H305" s="18"/>
    </row>
    <row r="306" spans="2:8" x14ac:dyDescent="0.2">
      <c r="H306" s="18"/>
    </row>
    <row r="307" spans="2:8" x14ac:dyDescent="0.2">
      <c r="H307" s="18"/>
    </row>
    <row r="308" spans="2:8" x14ac:dyDescent="0.2">
      <c r="B308" s="19"/>
      <c r="C308" s="19"/>
      <c r="D308" s="19"/>
      <c r="E308" s="19"/>
      <c r="F308" s="19"/>
    </row>
    <row r="309" spans="2:8" x14ac:dyDescent="0.2">
      <c r="H309" s="18"/>
    </row>
    <row r="310" spans="2:8" x14ac:dyDescent="0.2">
      <c r="H310" s="18"/>
    </row>
    <row r="311" spans="2:8" x14ac:dyDescent="0.2">
      <c r="H311" s="18"/>
    </row>
    <row r="312" spans="2:8" x14ac:dyDescent="0.2">
      <c r="H312" s="18"/>
    </row>
    <row r="313" spans="2:8" x14ac:dyDescent="0.2">
      <c r="H313" s="18"/>
    </row>
    <row r="314" spans="2:8" x14ac:dyDescent="0.2">
      <c r="B314" s="18"/>
      <c r="C314" s="18"/>
      <c r="D314" s="18"/>
      <c r="E314" s="18"/>
      <c r="F314" s="18"/>
    </row>
    <row r="315" spans="2:8" x14ac:dyDescent="0.2">
      <c r="H315" s="18"/>
    </row>
    <row r="316" spans="2:8" x14ac:dyDescent="0.2">
      <c r="H316" s="18"/>
    </row>
    <row r="317" spans="2:8" ht="32.25" customHeight="1" x14ac:dyDescent="0.2">
      <c r="B317" s="18"/>
      <c r="C317" s="18"/>
      <c r="D317" s="18"/>
      <c r="E317" s="18"/>
      <c r="F317" s="18"/>
    </row>
    <row r="318" spans="2:8" x14ac:dyDescent="0.2">
      <c r="H318" s="18"/>
    </row>
    <row r="319" spans="2:8" x14ac:dyDescent="0.2">
      <c r="H319" s="18"/>
    </row>
    <row r="320" spans="2:8" x14ac:dyDescent="0.2">
      <c r="H320" s="18"/>
    </row>
    <row r="321" spans="2:8" x14ac:dyDescent="0.2">
      <c r="H321" s="18"/>
    </row>
    <row r="322" spans="2:8" ht="64.5" customHeight="1" x14ac:dyDescent="0.2">
      <c r="B322" s="18"/>
      <c r="C322" s="18"/>
      <c r="D322" s="18"/>
      <c r="E322" s="18"/>
      <c r="F322" s="18"/>
    </row>
    <row r="323" spans="2:8" x14ac:dyDescent="0.2">
      <c r="H323" s="18"/>
    </row>
    <row r="324" spans="2:8" x14ac:dyDescent="0.2">
      <c r="H324" s="18"/>
    </row>
    <row r="325" spans="2:8" x14ac:dyDescent="0.2">
      <c r="H325" s="18"/>
    </row>
    <row r="326" spans="2:8" x14ac:dyDescent="0.2">
      <c r="H326" s="18"/>
    </row>
    <row r="327" spans="2:8" ht="32.25" customHeight="1" x14ac:dyDescent="0.2">
      <c r="B327" s="18"/>
      <c r="C327" s="18"/>
      <c r="D327" s="18"/>
      <c r="E327" s="18"/>
      <c r="F327" s="18"/>
    </row>
    <row r="328" spans="2:8" x14ac:dyDescent="0.2">
      <c r="H328" s="18"/>
    </row>
    <row r="329" spans="2:8" x14ac:dyDescent="0.2">
      <c r="H329" s="18"/>
    </row>
    <row r="330" spans="2:8" x14ac:dyDescent="0.2">
      <c r="H330" s="18"/>
    </row>
    <row r="331" spans="2:8" x14ac:dyDescent="0.2">
      <c r="H331" s="18"/>
    </row>
  </sheetData>
  <mergeCells count="34">
    <mergeCell ref="H318:H321"/>
    <mergeCell ref="B322:F322"/>
    <mergeCell ref="H323:H326"/>
    <mergeCell ref="B327:F327"/>
    <mergeCell ref="H328:H331"/>
    <mergeCell ref="B308:F308"/>
    <mergeCell ref="H309:H313"/>
    <mergeCell ref="B314:F314"/>
    <mergeCell ref="H315:H316"/>
    <mergeCell ref="B317:F317"/>
    <mergeCell ref="H294:H297"/>
    <mergeCell ref="B298:F298"/>
    <mergeCell ref="H299:H302"/>
    <mergeCell ref="B303:F303"/>
    <mergeCell ref="H304:H307"/>
    <mergeCell ref="B28:F28"/>
    <mergeCell ref="A1:C1"/>
    <mergeCell ref="B2:F2"/>
    <mergeCell ref="H3:H6"/>
    <mergeCell ref="B7:F7"/>
    <mergeCell ref="H8:H11"/>
    <mergeCell ref="B12:F12"/>
    <mergeCell ref="H13:H17"/>
    <mergeCell ref="B18:F18"/>
    <mergeCell ref="H19:H22"/>
    <mergeCell ref="B23:F23"/>
    <mergeCell ref="H24:H27"/>
    <mergeCell ref="H42:H45"/>
    <mergeCell ref="H29:H32"/>
    <mergeCell ref="B33:F33"/>
    <mergeCell ref="H34:H35"/>
    <mergeCell ref="B36:F36"/>
    <mergeCell ref="H37:H40"/>
    <mergeCell ref="B41:F41"/>
  </mergeCells>
  <conditionalFormatting sqref="F1 F3:F6 F8:F11 F19:F22 F24:F27 F29:F32 F34:F35 F37:F40 F42:F45 F13:F17">
    <cfRule type="cellIs" dxfId="69" priority="1" operator="equal">
      <formula>FALSE</formula>
    </cfRule>
    <cfRule type="cellIs" dxfId="68" priority="2" operator="equal">
      <formula>TRUE</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82"/>
  <sheetViews>
    <sheetView zoomScale="80" zoomScaleNormal="80" workbookViewId="0">
      <selection sqref="A1:C1"/>
    </sheetView>
  </sheetViews>
  <sheetFormatPr baseColWidth="10" defaultColWidth="8.83203125" defaultRowHeight="15" x14ac:dyDescent="0.2"/>
  <cols>
    <col min="1" max="1" width="6.33203125" customWidth="1"/>
    <col min="3" max="3" width="55.5" customWidth="1"/>
    <col min="4" max="4" width="13.5" hidden="1" customWidth="1"/>
    <col min="5" max="5" width="8.33203125" customWidth="1"/>
  </cols>
  <sheetData>
    <row r="1" spans="1:6" x14ac:dyDescent="0.2">
      <c r="A1" s="21" t="s">
        <v>24</v>
      </c>
      <c r="B1" s="21"/>
      <c r="C1" s="21"/>
      <c r="D1" s="15"/>
      <c r="E1" s="15" t="s">
        <v>26</v>
      </c>
      <c r="F1" s="15" t="s">
        <v>25</v>
      </c>
    </row>
    <row r="2" spans="1:6" x14ac:dyDescent="0.2">
      <c r="A2">
        <v>1</v>
      </c>
      <c r="B2" s="22" t="s">
        <v>1092</v>
      </c>
      <c r="C2" s="22"/>
      <c r="D2" s="22"/>
      <c r="E2" s="22"/>
      <c r="F2" s="22"/>
    </row>
    <row r="3" spans="1:6" ht="16" x14ac:dyDescent="0.2">
      <c r="A3">
        <v>1</v>
      </c>
      <c r="B3" t="s">
        <v>0</v>
      </c>
      <c r="C3" s="16" t="s">
        <v>4</v>
      </c>
      <c r="D3" t="s">
        <v>7</v>
      </c>
      <c r="F3" t="b">
        <f>D3=E3</f>
        <v>0</v>
      </c>
    </row>
    <row r="4" spans="1:6" ht="16" x14ac:dyDescent="0.2">
      <c r="A4">
        <v>1</v>
      </c>
      <c r="B4" t="s">
        <v>1</v>
      </c>
      <c r="C4" s="16" t="s">
        <v>1093</v>
      </c>
      <c r="D4" t="s">
        <v>8</v>
      </c>
      <c r="F4" t="b">
        <f t="shared" ref="F4:F67" si="0">D4=E4</f>
        <v>0</v>
      </c>
    </row>
    <row r="5" spans="1:6" ht="16" x14ac:dyDescent="0.2">
      <c r="A5">
        <v>1</v>
      </c>
      <c r="B5" t="s">
        <v>2</v>
      </c>
      <c r="C5" s="16" t="s">
        <v>1094</v>
      </c>
      <c r="D5" t="s">
        <v>8</v>
      </c>
      <c r="F5" t="b">
        <f t="shared" si="0"/>
        <v>0</v>
      </c>
    </row>
    <row r="6" spans="1:6" ht="16" x14ac:dyDescent="0.2">
      <c r="A6">
        <v>1</v>
      </c>
      <c r="B6" t="s">
        <v>3</v>
      </c>
      <c r="C6" s="16" t="s">
        <v>5</v>
      </c>
      <c r="D6" t="s">
        <v>7</v>
      </c>
      <c r="F6" t="b">
        <f t="shared" si="0"/>
        <v>0</v>
      </c>
    </row>
    <row r="7" spans="1:6" ht="16" x14ac:dyDescent="0.2">
      <c r="A7">
        <v>1</v>
      </c>
      <c r="B7" t="s">
        <v>6</v>
      </c>
      <c r="C7" s="16" t="s">
        <v>1095</v>
      </c>
      <c r="D7" t="s">
        <v>8</v>
      </c>
      <c r="F7" t="b">
        <f t="shared" si="0"/>
        <v>0</v>
      </c>
    </row>
    <row r="8" spans="1:6" x14ac:dyDescent="0.2">
      <c r="A8">
        <v>2</v>
      </c>
      <c r="B8" s="22" t="s">
        <v>1096</v>
      </c>
      <c r="C8" s="22"/>
      <c r="D8" s="22"/>
      <c r="E8" s="22"/>
      <c r="F8" s="22" t="s">
        <v>1097</v>
      </c>
    </row>
    <row r="9" spans="1:6" ht="16" x14ac:dyDescent="0.2">
      <c r="A9">
        <v>2</v>
      </c>
      <c r="B9" t="s">
        <v>0</v>
      </c>
      <c r="C9" s="16" t="s">
        <v>1098</v>
      </c>
      <c r="D9" t="s">
        <v>7</v>
      </c>
      <c r="F9" t="b">
        <f t="shared" si="0"/>
        <v>0</v>
      </c>
    </row>
    <row r="10" spans="1:6" ht="16" x14ac:dyDescent="0.2">
      <c r="A10">
        <v>2</v>
      </c>
      <c r="B10" t="s">
        <v>1</v>
      </c>
      <c r="C10" s="16" t="s">
        <v>1099</v>
      </c>
      <c r="D10" t="s">
        <v>8</v>
      </c>
      <c r="F10" t="b">
        <f t="shared" si="0"/>
        <v>0</v>
      </c>
    </row>
    <row r="11" spans="1:6" ht="16" x14ac:dyDescent="0.2">
      <c r="A11">
        <v>2</v>
      </c>
      <c r="B11" t="s">
        <v>2</v>
      </c>
      <c r="C11" s="16" t="s">
        <v>1100</v>
      </c>
      <c r="D11" t="s">
        <v>7</v>
      </c>
      <c r="F11" t="b">
        <f t="shared" si="0"/>
        <v>0</v>
      </c>
    </row>
    <row r="12" spans="1:6" ht="16" x14ac:dyDescent="0.2">
      <c r="A12">
        <v>2</v>
      </c>
      <c r="B12" t="s">
        <v>3</v>
      </c>
      <c r="C12" s="16" t="s">
        <v>1101</v>
      </c>
      <c r="D12" t="s">
        <v>7</v>
      </c>
      <c r="F12" t="b">
        <f t="shared" si="0"/>
        <v>0</v>
      </c>
    </row>
    <row r="13" spans="1:6" x14ac:dyDescent="0.2">
      <c r="A13">
        <v>3</v>
      </c>
      <c r="B13" s="22" t="s">
        <v>1102</v>
      </c>
      <c r="C13" s="22"/>
      <c r="D13" s="22"/>
      <c r="E13" s="22"/>
      <c r="F13" s="22" t="s">
        <v>1097</v>
      </c>
    </row>
    <row r="14" spans="1:6" ht="16" x14ac:dyDescent="0.2">
      <c r="A14">
        <v>3</v>
      </c>
      <c r="B14" t="s">
        <v>0</v>
      </c>
      <c r="C14" s="16" t="s">
        <v>1103</v>
      </c>
      <c r="D14" t="s">
        <v>7</v>
      </c>
      <c r="F14" t="b">
        <f t="shared" si="0"/>
        <v>0</v>
      </c>
    </row>
    <row r="15" spans="1:6" ht="16" x14ac:dyDescent="0.2">
      <c r="A15">
        <v>3</v>
      </c>
      <c r="B15" t="s">
        <v>1</v>
      </c>
      <c r="C15" s="16" t="s">
        <v>1104</v>
      </c>
      <c r="D15" t="s">
        <v>8</v>
      </c>
      <c r="F15" t="b">
        <f t="shared" si="0"/>
        <v>0</v>
      </c>
    </row>
    <row r="16" spans="1:6" ht="16" x14ac:dyDescent="0.2">
      <c r="A16">
        <v>3</v>
      </c>
      <c r="B16" t="s">
        <v>2</v>
      </c>
      <c r="C16" s="16" t="s">
        <v>1105</v>
      </c>
      <c r="D16" t="s">
        <v>7</v>
      </c>
      <c r="F16" t="b">
        <f t="shared" si="0"/>
        <v>0</v>
      </c>
    </row>
    <row r="17" spans="1:6" ht="16" x14ac:dyDescent="0.2">
      <c r="A17">
        <v>3</v>
      </c>
      <c r="B17" t="s">
        <v>3</v>
      </c>
      <c r="C17" s="16" t="s">
        <v>1106</v>
      </c>
      <c r="D17" t="s">
        <v>7</v>
      </c>
      <c r="F17" t="b">
        <f t="shared" si="0"/>
        <v>0</v>
      </c>
    </row>
    <row r="18" spans="1:6" x14ac:dyDescent="0.2">
      <c r="A18">
        <v>4</v>
      </c>
      <c r="B18" s="22" t="s">
        <v>1107</v>
      </c>
      <c r="C18" s="22"/>
      <c r="D18" s="22"/>
      <c r="E18" s="22"/>
      <c r="F18" s="22" t="s">
        <v>1097</v>
      </c>
    </row>
    <row r="19" spans="1:6" ht="16" x14ac:dyDescent="0.2">
      <c r="A19">
        <v>4</v>
      </c>
      <c r="B19" t="s">
        <v>0</v>
      </c>
      <c r="C19" s="16" t="s">
        <v>1108</v>
      </c>
      <c r="D19" t="s">
        <v>7</v>
      </c>
      <c r="F19" t="b">
        <f t="shared" si="0"/>
        <v>0</v>
      </c>
    </row>
    <row r="20" spans="1:6" ht="16" x14ac:dyDescent="0.2">
      <c r="A20">
        <v>4</v>
      </c>
      <c r="B20" t="s">
        <v>1</v>
      </c>
      <c r="C20" s="16" t="s">
        <v>9</v>
      </c>
      <c r="D20" t="s">
        <v>7</v>
      </c>
      <c r="F20" t="b">
        <f t="shared" si="0"/>
        <v>0</v>
      </c>
    </row>
    <row r="21" spans="1:6" ht="16" x14ac:dyDescent="0.2">
      <c r="A21">
        <v>4</v>
      </c>
      <c r="B21" t="s">
        <v>2</v>
      </c>
      <c r="C21" s="16" t="s">
        <v>760</v>
      </c>
      <c r="D21" t="s">
        <v>8</v>
      </c>
      <c r="F21" t="b">
        <f t="shared" si="0"/>
        <v>0</v>
      </c>
    </row>
    <row r="22" spans="1:6" ht="16" x14ac:dyDescent="0.2">
      <c r="A22">
        <v>4</v>
      </c>
      <c r="B22" t="s">
        <v>3</v>
      </c>
      <c r="C22" s="16" t="s">
        <v>1109</v>
      </c>
      <c r="D22" t="s">
        <v>7</v>
      </c>
      <c r="F22" t="b">
        <f t="shared" si="0"/>
        <v>0</v>
      </c>
    </row>
    <row r="23" spans="1:6" x14ac:dyDescent="0.2">
      <c r="A23">
        <v>5</v>
      </c>
      <c r="B23" s="22" t="s">
        <v>1110</v>
      </c>
      <c r="C23" s="22"/>
      <c r="D23" s="22"/>
      <c r="E23" s="22"/>
      <c r="F23" s="22" t="s">
        <v>1097</v>
      </c>
    </row>
    <row r="24" spans="1:6" ht="16" x14ac:dyDescent="0.2">
      <c r="A24">
        <v>5</v>
      </c>
      <c r="B24" t="s">
        <v>0</v>
      </c>
      <c r="C24" s="16" t="s">
        <v>1099</v>
      </c>
      <c r="D24" t="s">
        <v>7</v>
      </c>
      <c r="F24" t="b">
        <f t="shared" si="0"/>
        <v>0</v>
      </c>
    </row>
    <row r="25" spans="1:6" ht="16" x14ac:dyDescent="0.2">
      <c r="A25">
        <v>5</v>
      </c>
      <c r="B25" t="s">
        <v>1</v>
      </c>
      <c r="C25" s="16" t="s">
        <v>1111</v>
      </c>
      <c r="D25" t="s">
        <v>7</v>
      </c>
      <c r="F25" t="b">
        <f t="shared" si="0"/>
        <v>0</v>
      </c>
    </row>
    <row r="26" spans="1:6" ht="16" x14ac:dyDescent="0.2">
      <c r="A26">
        <v>5</v>
      </c>
      <c r="B26" t="s">
        <v>2</v>
      </c>
      <c r="C26" s="16" t="s">
        <v>4</v>
      </c>
      <c r="D26" t="s">
        <v>8</v>
      </c>
      <c r="F26" t="b">
        <f t="shared" si="0"/>
        <v>0</v>
      </c>
    </row>
    <row r="27" spans="1:6" ht="16" x14ac:dyDescent="0.2">
      <c r="A27">
        <v>5</v>
      </c>
      <c r="B27" t="s">
        <v>3</v>
      </c>
      <c r="C27" s="16" t="s">
        <v>1112</v>
      </c>
      <c r="D27" t="s">
        <v>7</v>
      </c>
      <c r="F27" t="b">
        <f t="shared" si="0"/>
        <v>0</v>
      </c>
    </row>
    <row r="28" spans="1:6" ht="48.75" customHeight="1" x14ac:dyDescent="0.2">
      <c r="A28">
        <v>6</v>
      </c>
      <c r="B28" s="23" t="s">
        <v>1113</v>
      </c>
      <c r="C28" s="23"/>
      <c r="D28" s="23"/>
      <c r="E28" s="23"/>
      <c r="F28" s="23"/>
    </row>
    <row r="29" spans="1:6" ht="16" x14ac:dyDescent="0.2">
      <c r="A29">
        <v>6</v>
      </c>
      <c r="B29" t="s">
        <v>0</v>
      </c>
      <c r="C29" s="16" t="s">
        <v>760</v>
      </c>
      <c r="D29" t="s">
        <v>7</v>
      </c>
      <c r="F29" t="b">
        <f t="shared" si="0"/>
        <v>0</v>
      </c>
    </row>
    <row r="30" spans="1:6" ht="16" x14ac:dyDescent="0.2">
      <c r="A30">
        <v>6</v>
      </c>
      <c r="B30" t="s">
        <v>1</v>
      </c>
      <c r="C30" s="16" t="s">
        <v>1114</v>
      </c>
      <c r="D30" t="s">
        <v>7</v>
      </c>
      <c r="F30" t="b">
        <f t="shared" si="0"/>
        <v>0</v>
      </c>
    </row>
    <row r="31" spans="1:6" ht="16" x14ac:dyDescent="0.2">
      <c r="A31">
        <v>6</v>
      </c>
      <c r="B31" t="s">
        <v>2</v>
      </c>
      <c r="C31" s="16" t="s">
        <v>4</v>
      </c>
      <c r="D31" t="s">
        <v>7</v>
      </c>
      <c r="F31" t="b">
        <f t="shared" si="0"/>
        <v>0</v>
      </c>
    </row>
    <row r="32" spans="1:6" ht="16" x14ac:dyDescent="0.2">
      <c r="A32">
        <v>6</v>
      </c>
      <c r="B32" t="s">
        <v>3</v>
      </c>
      <c r="C32" s="16" t="s">
        <v>1115</v>
      </c>
      <c r="D32" t="s">
        <v>8</v>
      </c>
      <c r="F32" t="b">
        <f t="shared" si="0"/>
        <v>0</v>
      </c>
    </row>
    <row r="33" spans="1:6" x14ac:dyDescent="0.2">
      <c r="A33">
        <v>7</v>
      </c>
      <c r="B33" s="24" t="s">
        <v>1116</v>
      </c>
      <c r="C33" s="24"/>
      <c r="D33" s="24"/>
      <c r="E33" s="24"/>
      <c r="F33" s="24"/>
    </row>
    <row r="34" spans="1:6" ht="16" x14ac:dyDescent="0.2">
      <c r="A34">
        <v>7</v>
      </c>
      <c r="B34" t="s">
        <v>0</v>
      </c>
      <c r="C34" s="16" t="s">
        <v>1117</v>
      </c>
      <c r="D34" t="s">
        <v>8</v>
      </c>
      <c r="F34" t="b">
        <f t="shared" si="0"/>
        <v>0</v>
      </c>
    </row>
    <row r="35" spans="1:6" ht="16" x14ac:dyDescent="0.2">
      <c r="A35">
        <v>7</v>
      </c>
      <c r="B35" t="s">
        <v>1</v>
      </c>
      <c r="C35" s="16" t="s">
        <v>1118</v>
      </c>
      <c r="D35" t="s">
        <v>7</v>
      </c>
      <c r="F35" t="b">
        <f t="shared" si="0"/>
        <v>0</v>
      </c>
    </row>
    <row r="36" spans="1:6" ht="16" x14ac:dyDescent="0.2">
      <c r="A36">
        <v>7</v>
      </c>
      <c r="B36" t="s">
        <v>2</v>
      </c>
      <c r="C36" s="16" t="s">
        <v>1119</v>
      </c>
      <c r="D36" t="s">
        <v>7</v>
      </c>
      <c r="F36" t="b">
        <f t="shared" si="0"/>
        <v>0</v>
      </c>
    </row>
    <row r="37" spans="1:6" ht="16" x14ac:dyDescent="0.2">
      <c r="A37">
        <v>7</v>
      </c>
      <c r="B37" t="s">
        <v>3</v>
      </c>
      <c r="C37" s="16" t="s">
        <v>1098</v>
      </c>
      <c r="D37" t="s">
        <v>7</v>
      </c>
      <c r="F37" t="b">
        <f t="shared" si="0"/>
        <v>0</v>
      </c>
    </row>
    <row r="38" spans="1:6" x14ac:dyDescent="0.2">
      <c r="A38">
        <v>8</v>
      </c>
      <c r="B38" s="22" t="s">
        <v>1120</v>
      </c>
      <c r="C38" s="22"/>
      <c r="D38" s="22"/>
      <c r="E38" s="22"/>
      <c r="F38" s="22" t="b">
        <f t="shared" si="0"/>
        <v>1</v>
      </c>
    </row>
    <row r="39" spans="1:6" ht="16" x14ac:dyDescent="0.2">
      <c r="A39">
        <v>8</v>
      </c>
      <c r="B39" t="s">
        <v>0</v>
      </c>
      <c r="C39" s="16" t="s">
        <v>1121</v>
      </c>
      <c r="D39" t="s">
        <v>8</v>
      </c>
      <c r="F39" t="b">
        <f t="shared" si="0"/>
        <v>0</v>
      </c>
    </row>
    <row r="40" spans="1:6" ht="16" x14ac:dyDescent="0.2">
      <c r="A40">
        <v>8</v>
      </c>
      <c r="B40" t="s">
        <v>1</v>
      </c>
      <c r="C40" s="16" t="s">
        <v>1122</v>
      </c>
      <c r="D40" t="s">
        <v>7</v>
      </c>
      <c r="F40" t="b">
        <f t="shared" si="0"/>
        <v>0</v>
      </c>
    </row>
    <row r="41" spans="1:6" ht="16" x14ac:dyDescent="0.2">
      <c r="A41">
        <v>8</v>
      </c>
      <c r="B41" t="s">
        <v>2</v>
      </c>
      <c r="C41" s="16" t="s">
        <v>1123</v>
      </c>
      <c r="D41" t="s">
        <v>7</v>
      </c>
      <c r="F41" t="b">
        <f t="shared" si="0"/>
        <v>0</v>
      </c>
    </row>
    <row r="42" spans="1:6" ht="16" x14ac:dyDescent="0.2">
      <c r="A42">
        <v>8</v>
      </c>
      <c r="B42" t="s">
        <v>3</v>
      </c>
      <c r="C42" s="16" t="s">
        <v>1124</v>
      </c>
      <c r="D42" t="s">
        <v>7</v>
      </c>
      <c r="F42" t="b">
        <f t="shared" si="0"/>
        <v>0</v>
      </c>
    </row>
    <row r="43" spans="1:6" ht="30" customHeight="1" x14ac:dyDescent="0.2">
      <c r="A43">
        <v>9</v>
      </c>
      <c r="B43" s="22" t="s">
        <v>1125</v>
      </c>
      <c r="C43" s="22"/>
      <c r="D43" s="22"/>
      <c r="E43" s="22"/>
      <c r="F43" s="22"/>
    </row>
    <row r="44" spans="1:6" ht="16" x14ac:dyDescent="0.2">
      <c r="A44">
        <v>9</v>
      </c>
      <c r="B44" t="s">
        <v>0</v>
      </c>
      <c r="C44" s="16" t="s">
        <v>1126</v>
      </c>
      <c r="D44" t="s">
        <v>7</v>
      </c>
      <c r="F44" t="b">
        <f t="shared" si="0"/>
        <v>0</v>
      </c>
    </row>
    <row r="45" spans="1:6" ht="16" x14ac:dyDescent="0.2">
      <c r="A45">
        <v>9</v>
      </c>
      <c r="B45" t="s">
        <v>1</v>
      </c>
      <c r="C45" s="16" t="s">
        <v>1127</v>
      </c>
      <c r="D45" t="s">
        <v>7</v>
      </c>
      <c r="F45" t="b">
        <f t="shared" si="0"/>
        <v>0</v>
      </c>
    </row>
    <row r="46" spans="1:6" ht="16" x14ac:dyDescent="0.2">
      <c r="A46">
        <v>9</v>
      </c>
      <c r="B46" t="s">
        <v>2</v>
      </c>
      <c r="C46" s="16" t="s">
        <v>1128</v>
      </c>
      <c r="D46" t="s">
        <v>8</v>
      </c>
      <c r="F46" t="b">
        <f t="shared" si="0"/>
        <v>0</v>
      </c>
    </row>
    <row r="47" spans="1:6" ht="16" x14ac:dyDescent="0.2">
      <c r="A47">
        <v>9</v>
      </c>
      <c r="B47" t="s">
        <v>3</v>
      </c>
      <c r="C47" s="16" t="s">
        <v>1129</v>
      </c>
      <c r="D47" t="s">
        <v>7</v>
      </c>
      <c r="F47" t="b">
        <f t="shared" si="0"/>
        <v>0</v>
      </c>
    </row>
    <row r="48" spans="1:6" x14ac:dyDescent="0.2">
      <c r="A48">
        <v>10</v>
      </c>
      <c r="B48" s="22" t="s">
        <v>1130</v>
      </c>
      <c r="C48" s="22"/>
      <c r="D48" s="22"/>
      <c r="E48" s="22"/>
      <c r="F48" s="22"/>
    </row>
    <row r="49" spans="1:6" ht="16" x14ac:dyDescent="0.2">
      <c r="A49">
        <v>10</v>
      </c>
      <c r="B49" t="s">
        <v>0</v>
      </c>
      <c r="C49" s="16" t="s">
        <v>1131</v>
      </c>
      <c r="D49" t="s">
        <v>7</v>
      </c>
      <c r="F49" t="b">
        <f t="shared" si="0"/>
        <v>0</v>
      </c>
    </row>
    <row r="50" spans="1:6" ht="16" x14ac:dyDescent="0.2">
      <c r="A50">
        <v>10</v>
      </c>
      <c r="B50" t="s">
        <v>1</v>
      </c>
      <c r="C50" s="16" t="s">
        <v>1132</v>
      </c>
      <c r="D50" t="s">
        <v>7</v>
      </c>
      <c r="F50" t="b">
        <f t="shared" si="0"/>
        <v>0</v>
      </c>
    </row>
    <row r="51" spans="1:6" ht="16" x14ac:dyDescent="0.2">
      <c r="A51">
        <v>10</v>
      </c>
      <c r="B51" t="s">
        <v>2</v>
      </c>
      <c r="C51" s="16" t="s">
        <v>1133</v>
      </c>
      <c r="D51" t="s">
        <v>7</v>
      </c>
      <c r="F51" t="b">
        <f t="shared" si="0"/>
        <v>0</v>
      </c>
    </row>
    <row r="52" spans="1:6" ht="16" x14ac:dyDescent="0.2">
      <c r="A52">
        <v>10</v>
      </c>
      <c r="B52" t="s">
        <v>3</v>
      </c>
      <c r="C52" s="16" t="s">
        <v>1134</v>
      </c>
      <c r="D52" t="s">
        <v>8</v>
      </c>
      <c r="F52" t="b">
        <f t="shared" si="0"/>
        <v>0</v>
      </c>
    </row>
    <row r="53" spans="1:6" ht="27.75" customHeight="1" x14ac:dyDescent="0.2">
      <c r="A53">
        <v>11</v>
      </c>
      <c r="B53" s="22" t="s">
        <v>1135</v>
      </c>
      <c r="C53" s="22"/>
      <c r="D53" s="22"/>
      <c r="E53" s="22"/>
      <c r="F53" s="22"/>
    </row>
    <row r="54" spans="1:6" ht="16" x14ac:dyDescent="0.2">
      <c r="A54">
        <v>11</v>
      </c>
      <c r="B54" t="s">
        <v>0</v>
      </c>
      <c r="C54" s="16" t="s">
        <v>1136</v>
      </c>
      <c r="D54" t="s">
        <v>8</v>
      </c>
      <c r="F54" t="b">
        <f t="shared" si="0"/>
        <v>0</v>
      </c>
    </row>
    <row r="55" spans="1:6" ht="16" x14ac:dyDescent="0.2">
      <c r="A55">
        <v>11</v>
      </c>
      <c r="B55" t="s">
        <v>1</v>
      </c>
      <c r="C55" s="16" t="s">
        <v>1137</v>
      </c>
      <c r="D55" t="s">
        <v>7</v>
      </c>
      <c r="F55" t="b">
        <f t="shared" si="0"/>
        <v>0</v>
      </c>
    </row>
    <row r="56" spans="1:6" ht="16" x14ac:dyDescent="0.2">
      <c r="A56">
        <v>11</v>
      </c>
      <c r="B56" t="s">
        <v>2</v>
      </c>
      <c r="C56" s="16" t="s">
        <v>1138</v>
      </c>
      <c r="D56" t="s">
        <v>7</v>
      </c>
      <c r="F56" t="b">
        <f t="shared" si="0"/>
        <v>0</v>
      </c>
    </row>
    <row r="57" spans="1:6" ht="16" x14ac:dyDescent="0.2">
      <c r="A57">
        <v>11</v>
      </c>
      <c r="B57" t="s">
        <v>3</v>
      </c>
      <c r="C57" s="16" t="s">
        <v>1139</v>
      </c>
      <c r="D57" t="s">
        <v>7</v>
      </c>
      <c r="F57" t="b">
        <f t="shared" si="0"/>
        <v>0</v>
      </c>
    </row>
    <row r="58" spans="1:6" ht="30.75" customHeight="1" x14ac:dyDescent="0.2">
      <c r="A58">
        <v>12</v>
      </c>
      <c r="B58" s="22" t="s">
        <v>1140</v>
      </c>
      <c r="C58" s="22"/>
      <c r="D58" s="22"/>
      <c r="E58" s="22"/>
      <c r="F58" s="22"/>
    </row>
    <row r="59" spans="1:6" ht="16" x14ac:dyDescent="0.2">
      <c r="A59">
        <v>12</v>
      </c>
      <c r="B59" t="s">
        <v>0</v>
      </c>
      <c r="C59" s="16" t="s">
        <v>1141</v>
      </c>
      <c r="D59" t="s">
        <v>8</v>
      </c>
      <c r="F59" t="b">
        <f t="shared" si="0"/>
        <v>0</v>
      </c>
    </row>
    <row r="60" spans="1:6" ht="16" x14ac:dyDescent="0.2">
      <c r="A60">
        <v>12</v>
      </c>
      <c r="B60" t="s">
        <v>1</v>
      </c>
      <c r="C60" s="16" t="s">
        <v>1142</v>
      </c>
      <c r="D60" t="s">
        <v>7</v>
      </c>
      <c r="F60" t="b">
        <f t="shared" si="0"/>
        <v>0</v>
      </c>
    </row>
    <row r="61" spans="1:6" ht="16" x14ac:dyDescent="0.2">
      <c r="A61">
        <v>12</v>
      </c>
      <c r="B61" t="s">
        <v>2</v>
      </c>
      <c r="C61" s="16" t="s">
        <v>1143</v>
      </c>
      <c r="D61" t="s">
        <v>7</v>
      </c>
      <c r="F61" t="b">
        <f t="shared" si="0"/>
        <v>0</v>
      </c>
    </row>
    <row r="62" spans="1:6" ht="16" x14ac:dyDescent="0.2">
      <c r="A62">
        <v>12</v>
      </c>
      <c r="B62" t="s">
        <v>3</v>
      </c>
      <c r="C62" s="16" t="s">
        <v>1144</v>
      </c>
      <c r="D62" t="s">
        <v>7</v>
      </c>
      <c r="F62" t="b">
        <f t="shared" si="0"/>
        <v>0</v>
      </c>
    </row>
    <row r="63" spans="1:6" ht="33" customHeight="1" x14ac:dyDescent="0.2">
      <c r="A63">
        <v>13</v>
      </c>
      <c r="B63" s="22" t="s">
        <v>1145</v>
      </c>
      <c r="C63" s="22"/>
      <c r="D63" s="22"/>
      <c r="E63" s="22"/>
      <c r="F63" s="22"/>
    </row>
    <row r="64" spans="1:6" ht="16" x14ac:dyDescent="0.2">
      <c r="A64">
        <v>13</v>
      </c>
      <c r="B64" t="s">
        <v>0</v>
      </c>
      <c r="C64" s="16" t="s">
        <v>1146</v>
      </c>
      <c r="D64" t="s">
        <v>7</v>
      </c>
      <c r="F64" t="b">
        <f t="shared" si="0"/>
        <v>0</v>
      </c>
    </row>
    <row r="65" spans="1:6" ht="16" x14ac:dyDescent="0.2">
      <c r="A65">
        <v>13</v>
      </c>
      <c r="B65" t="s">
        <v>1</v>
      </c>
      <c r="C65" s="16" t="s">
        <v>1147</v>
      </c>
      <c r="D65" t="s">
        <v>8</v>
      </c>
      <c r="F65" t="b">
        <f t="shared" si="0"/>
        <v>0</v>
      </c>
    </row>
    <row r="66" spans="1:6" ht="16" x14ac:dyDescent="0.2">
      <c r="A66">
        <v>13</v>
      </c>
      <c r="B66" t="s">
        <v>2</v>
      </c>
      <c r="C66" s="16" t="s">
        <v>1148</v>
      </c>
      <c r="D66" t="s">
        <v>7</v>
      </c>
      <c r="F66" t="b">
        <f t="shared" si="0"/>
        <v>0</v>
      </c>
    </row>
    <row r="67" spans="1:6" ht="16" x14ac:dyDescent="0.2">
      <c r="A67">
        <v>13</v>
      </c>
      <c r="B67" t="s">
        <v>3</v>
      </c>
      <c r="C67" s="16" t="s">
        <v>1149</v>
      </c>
      <c r="D67" t="s">
        <v>7</v>
      </c>
      <c r="F67" t="b">
        <f t="shared" si="0"/>
        <v>0</v>
      </c>
    </row>
    <row r="68" spans="1:6" x14ac:dyDescent="0.2">
      <c r="A68">
        <v>14</v>
      </c>
      <c r="B68" s="22" t="s">
        <v>1150</v>
      </c>
      <c r="C68" s="22"/>
      <c r="D68" s="22"/>
      <c r="E68" s="22"/>
      <c r="F68" s="22"/>
    </row>
    <row r="69" spans="1:6" ht="16" x14ac:dyDescent="0.2">
      <c r="A69">
        <v>14</v>
      </c>
      <c r="B69" t="s">
        <v>0</v>
      </c>
      <c r="C69" s="16" t="s">
        <v>1151</v>
      </c>
      <c r="D69" t="s">
        <v>7</v>
      </c>
      <c r="F69" t="b">
        <f t="shared" ref="F69:F132" si="1">D69=E69</f>
        <v>0</v>
      </c>
    </row>
    <row r="70" spans="1:6" ht="16" x14ac:dyDescent="0.2">
      <c r="A70">
        <v>14</v>
      </c>
      <c r="B70" t="s">
        <v>1</v>
      </c>
      <c r="C70" s="16" t="s">
        <v>1152</v>
      </c>
      <c r="D70" t="s">
        <v>8</v>
      </c>
      <c r="F70" t="b">
        <f t="shared" si="1"/>
        <v>0</v>
      </c>
    </row>
    <row r="71" spans="1:6" ht="16" x14ac:dyDescent="0.2">
      <c r="A71">
        <v>14</v>
      </c>
      <c r="B71" t="s">
        <v>2</v>
      </c>
      <c r="C71" s="16" t="s">
        <v>1153</v>
      </c>
      <c r="D71" t="s">
        <v>7</v>
      </c>
      <c r="F71" t="b">
        <f t="shared" si="1"/>
        <v>0</v>
      </c>
    </row>
    <row r="72" spans="1:6" ht="16" x14ac:dyDescent="0.2">
      <c r="A72">
        <v>14</v>
      </c>
      <c r="B72" t="s">
        <v>3</v>
      </c>
      <c r="C72" s="16" t="s">
        <v>1154</v>
      </c>
      <c r="D72" t="s">
        <v>7</v>
      </c>
      <c r="F72" t="b">
        <f t="shared" si="1"/>
        <v>0</v>
      </c>
    </row>
    <row r="73" spans="1:6" x14ac:dyDescent="0.2">
      <c r="A73">
        <v>15</v>
      </c>
      <c r="B73" s="22" t="s">
        <v>1155</v>
      </c>
      <c r="C73" s="22"/>
      <c r="D73" s="22"/>
      <c r="E73" s="22"/>
      <c r="F73" s="22"/>
    </row>
    <row r="74" spans="1:6" ht="16" x14ac:dyDescent="0.2">
      <c r="A74">
        <v>15</v>
      </c>
      <c r="B74" t="s">
        <v>0</v>
      </c>
      <c r="C74" s="16" t="s">
        <v>1156</v>
      </c>
      <c r="D74" t="s">
        <v>7</v>
      </c>
      <c r="F74" t="b">
        <f t="shared" si="1"/>
        <v>0</v>
      </c>
    </row>
    <row r="75" spans="1:6" ht="32" x14ac:dyDescent="0.2">
      <c r="A75">
        <v>15</v>
      </c>
      <c r="B75" t="s">
        <v>1</v>
      </c>
      <c r="C75" s="16" t="s">
        <v>1157</v>
      </c>
      <c r="D75" t="s">
        <v>8</v>
      </c>
      <c r="F75" t="b">
        <f t="shared" si="1"/>
        <v>0</v>
      </c>
    </row>
    <row r="76" spans="1:6" ht="16" x14ac:dyDescent="0.2">
      <c r="A76">
        <v>15</v>
      </c>
      <c r="B76" t="s">
        <v>2</v>
      </c>
      <c r="C76" s="16" t="s">
        <v>1158</v>
      </c>
      <c r="D76" t="s">
        <v>7</v>
      </c>
      <c r="F76" t="b">
        <f t="shared" si="1"/>
        <v>0</v>
      </c>
    </row>
    <row r="77" spans="1:6" ht="16" x14ac:dyDescent="0.2">
      <c r="A77">
        <v>15</v>
      </c>
      <c r="B77" t="s">
        <v>3</v>
      </c>
      <c r="C77" s="16" t="s">
        <v>1159</v>
      </c>
      <c r="D77" t="s">
        <v>7</v>
      </c>
      <c r="F77" t="b">
        <f t="shared" si="1"/>
        <v>0</v>
      </c>
    </row>
    <row r="78" spans="1:6" x14ac:dyDescent="0.2">
      <c r="A78">
        <v>16</v>
      </c>
      <c r="B78" s="22" t="s">
        <v>1160</v>
      </c>
      <c r="C78" s="22"/>
      <c r="D78" s="22"/>
      <c r="E78" s="22"/>
      <c r="F78" s="22"/>
    </row>
    <row r="79" spans="1:6" ht="16" x14ac:dyDescent="0.2">
      <c r="A79">
        <v>16</v>
      </c>
      <c r="B79" t="s">
        <v>0</v>
      </c>
      <c r="C79" s="16" t="s">
        <v>1161</v>
      </c>
      <c r="D79" t="s">
        <v>7</v>
      </c>
      <c r="F79" t="b">
        <f t="shared" si="1"/>
        <v>0</v>
      </c>
    </row>
    <row r="80" spans="1:6" ht="16" x14ac:dyDescent="0.2">
      <c r="A80">
        <v>16</v>
      </c>
      <c r="B80" t="s">
        <v>1</v>
      </c>
      <c r="C80" s="16" t="s">
        <v>1162</v>
      </c>
      <c r="D80" t="s">
        <v>7</v>
      </c>
      <c r="F80" t="b">
        <f t="shared" si="1"/>
        <v>0</v>
      </c>
    </row>
    <row r="81" spans="1:6" ht="32" x14ac:dyDescent="0.2">
      <c r="A81">
        <v>16</v>
      </c>
      <c r="B81" t="s">
        <v>2</v>
      </c>
      <c r="C81" s="16" t="s">
        <v>1163</v>
      </c>
      <c r="D81" t="s">
        <v>7</v>
      </c>
      <c r="F81" t="b">
        <f t="shared" si="1"/>
        <v>0</v>
      </c>
    </row>
    <row r="82" spans="1:6" ht="32" x14ac:dyDescent="0.2">
      <c r="A82">
        <v>16</v>
      </c>
      <c r="B82" t="s">
        <v>3</v>
      </c>
      <c r="C82" s="16" t="s">
        <v>1164</v>
      </c>
      <c r="D82" t="s">
        <v>8</v>
      </c>
      <c r="F82" t="b">
        <f t="shared" si="1"/>
        <v>0</v>
      </c>
    </row>
    <row r="83" spans="1:6" x14ac:dyDescent="0.2">
      <c r="A83">
        <v>17</v>
      </c>
      <c r="B83" s="22" t="s">
        <v>1165</v>
      </c>
      <c r="C83" s="22"/>
      <c r="D83" s="22"/>
      <c r="E83" s="22"/>
      <c r="F83" s="22"/>
    </row>
    <row r="84" spans="1:6" ht="16" x14ac:dyDescent="0.2">
      <c r="A84">
        <v>17</v>
      </c>
      <c r="B84" t="s">
        <v>1166</v>
      </c>
      <c r="C84" s="16" t="s">
        <v>1167</v>
      </c>
      <c r="D84" t="s">
        <v>8</v>
      </c>
      <c r="F84" t="b">
        <f t="shared" si="1"/>
        <v>0</v>
      </c>
    </row>
    <row r="85" spans="1:6" ht="16" x14ac:dyDescent="0.2">
      <c r="A85">
        <v>17</v>
      </c>
      <c r="B85" t="s">
        <v>1</v>
      </c>
      <c r="C85" s="16" t="s">
        <v>1168</v>
      </c>
      <c r="D85" t="s">
        <v>8</v>
      </c>
      <c r="F85" t="b">
        <f t="shared" si="1"/>
        <v>0</v>
      </c>
    </row>
    <row r="86" spans="1:6" ht="16" x14ac:dyDescent="0.2">
      <c r="A86">
        <v>17</v>
      </c>
      <c r="B86" t="s">
        <v>2</v>
      </c>
      <c r="C86" s="16" t="s">
        <v>1169</v>
      </c>
      <c r="D86" t="s">
        <v>7</v>
      </c>
      <c r="F86" t="b">
        <f t="shared" si="1"/>
        <v>0</v>
      </c>
    </row>
    <row r="87" spans="1:6" ht="16" x14ac:dyDescent="0.2">
      <c r="A87">
        <v>17</v>
      </c>
      <c r="B87" t="s">
        <v>3</v>
      </c>
      <c r="C87" s="16" t="s">
        <v>1170</v>
      </c>
      <c r="D87" t="s">
        <v>7</v>
      </c>
      <c r="F87" t="b">
        <f t="shared" si="1"/>
        <v>0</v>
      </c>
    </row>
    <row r="88" spans="1:6" ht="16" x14ac:dyDescent="0.2">
      <c r="A88">
        <v>17</v>
      </c>
      <c r="B88" t="s">
        <v>6</v>
      </c>
      <c r="C88" s="16" t="s">
        <v>1171</v>
      </c>
      <c r="D88" t="s">
        <v>7</v>
      </c>
      <c r="F88" t="b">
        <f t="shared" si="1"/>
        <v>0</v>
      </c>
    </row>
    <row r="89" spans="1:6" x14ac:dyDescent="0.2">
      <c r="A89">
        <v>18</v>
      </c>
      <c r="B89" s="22" t="s">
        <v>1172</v>
      </c>
      <c r="C89" s="22"/>
      <c r="D89" s="22"/>
      <c r="E89" s="22"/>
      <c r="F89" s="22"/>
    </row>
    <row r="90" spans="1:6" ht="32" x14ac:dyDescent="0.2">
      <c r="A90">
        <v>18</v>
      </c>
      <c r="B90" t="s">
        <v>1166</v>
      </c>
      <c r="C90" s="16" t="s">
        <v>1173</v>
      </c>
      <c r="D90" t="s">
        <v>7</v>
      </c>
      <c r="F90" t="b">
        <f t="shared" si="1"/>
        <v>0</v>
      </c>
    </row>
    <row r="91" spans="1:6" ht="32" x14ac:dyDescent="0.2">
      <c r="A91">
        <v>18</v>
      </c>
      <c r="B91" t="s">
        <v>1</v>
      </c>
      <c r="C91" s="16" t="s">
        <v>1174</v>
      </c>
      <c r="D91" t="s">
        <v>8</v>
      </c>
      <c r="F91" t="b">
        <f t="shared" si="1"/>
        <v>0</v>
      </c>
    </row>
    <row r="92" spans="1:6" ht="16" x14ac:dyDescent="0.2">
      <c r="A92">
        <v>18</v>
      </c>
      <c r="B92" t="s">
        <v>2</v>
      </c>
      <c r="C92" s="16" t="s">
        <v>1175</v>
      </c>
      <c r="D92" t="s">
        <v>7</v>
      </c>
      <c r="F92" t="b">
        <f t="shared" si="1"/>
        <v>0</v>
      </c>
    </row>
    <row r="93" spans="1:6" ht="32" x14ac:dyDescent="0.2">
      <c r="A93">
        <v>18</v>
      </c>
      <c r="B93" t="s">
        <v>3</v>
      </c>
      <c r="C93" s="16" t="s">
        <v>1176</v>
      </c>
      <c r="D93" t="s">
        <v>7</v>
      </c>
      <c r="F93" t="b">
        <f t="shared" si="1"/>
        <v>0</v>
      </c>
    </row>
    <row r="94" spans="1:6" x14ac:dyDescent="0.2">
      <c r="A94">
        <v>19</v>
      </c>
      <c r="B94" s="22" t="s">
        <v>1177</v>
      </c>
      <c r="C94" s="22"/>
      <c r="D94" s="22"/>
      <c r="E94" s="22"/>
      <c r="F94" s="22"/>
    </row>
    <row r="95" spans="1:6" ht="16" x14ac:dyDescent="0.2">
      <c r="A95">
        <v>19</v>
      </c>
      <c r="B95" t="s">
        <v>0</v>
      </c>
      <c r="C95" s="16" t="s">
        <v>1178</v>
      </c>
      <c r="D95" t="s">
        <v>7</v>
      </c>
      <c r="F95" t="b">
        <f t="shared" si="1"/>
        <v>0</v>
      </c>
    </row>
    <row r="96" spans="1:6" ht="16" x14ac:dyDescent="0.2">
      <c r="A96">
        <v>19</v>
      </c>
      <c r="B96" t="s">
        <v>1</v>
      </c>
      <c r="C96" s="16" t="s">
        <v>1179</v>
      </c>
      <c r="D96" t="s">
        <v>8</v>
      </c>
      <c r="F96" t="b">
        <f t="shared" si="1"/>
        <v>0</v>
      </c>
    </row>
    <row r="97" spans="1:6" ht="32" x14ac:dyDescent="0.2">
      <c r="A97">
        <v>19</v>
      </c>
      <c r="B97" t="s">
        <v>2</v>
      </c>
      <c r="C97" s="16" t="s">
        <v>1180</v>
      </c>
      <c r="D97" t="s">
        <v>7</v>
      </c>
      <c r="F97" t="b">
        <f t="shared" si="1"/>
        <v>0</v>
      </c>
    </row>
    <row r="98" spans="1:6" ht="32" x14ac:dyDescent="0.2">
      <c r="A98">
        <v>19</v>
      </c>
      <c r="B98" t="s">
        <v>1</v>
      </c>
      <c r="C98" s="16" t="s">
        <v>1181</v>
      </c>
      <c r="D98" t="s">
        <v>7</v>
      </c>
      <c r="F98" t="b">
        <f t="shared" si="1"/>
        <v>0</v>
      </c>
    </row>
    <row r="99" spans="1:6" x14ac:dyDescent="0.2">
      <c r="A99">
        <v>20</v>
      </c>
      <c r="B99" s="22" t="s">
        <v>1182</v>
      </c>
      <c r="C99" s="22"/>
      <c r="D99" s="22"/>
      <c r="E99" s="22"/>
      <c r="F99" s="22"/>
    </row>
    <row r="100" spans="1:6" ht="16" x14ac:dyDescent="0.2">
      <c r="A100">
        <v>20</v>
      </c>
      <c r="B100" t="s">
        <v>0</v>
      </c>
      <c r="C100" s="16" t="s">
        <v>1183</v>
      </c>
      <c r="D100" t="s">
        <v>8</v>
      </c>
      <c r="F100" t="b">
        <f t="shared" si="1"/>
        <v>0</v>
      </c>
    </row>
    <row r="101" spans="1:6" ht="16" x14ac:dyDescent="0.2">
      <c r="A101">
        <v>20</v>
      </c>
      <c r="B101" t="s">
        <v>1</v>
      </c>
      <c r="C101" s="16" t="s">
        <v>1184</v>
      </c>
      <c r="D101" t="s">
        <v>7</v>
      </c>
      <c r="F101" t="b">
        <f t="shared" si="1"/>
        <v>0</v>
      </c>
    </row>
    <row r="102" spans="1:6" ht="16" x14ac:dyDescent="0.2">
      <c r="A102">
        <v>20</v>
      </c>
      <c r="B102" t="s">
        <v>2</v>
      </c>
      <c r="C102" s="16" t="s">
        <v>1185</v>
      </c>
      <c r="D102" t="s">
        <v>7</v>
      </c>
      <c r="F102" t="b">
        <f t="shared" si="1"/>
        <v>0</v>
      </c>
    </row>
    <row r="103" spans="1:6" ht="16" x14ac:dyDescent="0.2">
      <c r="A103">
        <v>20</v>
      </c>
      <c r="B103" t="s">
        <v>3</v>
      </c>
      <c r="C103" s="16" t="s">
        <v>4</v>
      </c>
      <c r="D103" t="s">
        <v>7</v>
      </c>
      <c r="F103" t="b">
        <f t="shared" si="1"/>
        <v>0</v>
      </c>
    </row>
    <row r="104" spans="1:6" x14ac:dyDescent="0.2">
      <c r="A104">
        <v>21</v>
      </c>
      <c r="B104" s="22" t="s">
        <v>1186</v>
      </c>
      <c r="C104" s="22"/>
      <c r="D104" s="22"/>
      <c r="E104" s="22"/>
      <c r="F104" s="22" t="b">
        <f t="shared" si="1"/>
        <v>1</v>
      </c>
    </row>
    <row r="105" spans="1:6" ht="16" x14ac:dyDescent="0.2">
      <c r="A105">
        <v>21</v>
      </c>
      <c r="B105" t="s">
        <v>0</v>
      </c>
      <c r="C105" s="16" t="s">
        <v>1187</v>
      </c>
      <c r="D105" t="s">
        <v>7</v>
      </c>
      <c r="F105" t="b">
        <f t="shared" si="1"/>
        <v>0</v>
      </c>
    </row>
    <row r="106" spans="1:6" ht="16" x14ac:dyDescent="0.2">
      <c r="A106">
        <v>21</v>
      </c>
      <c r="B106" t="s">
        <v>1</v>
      </c>
      <c r="C106" s="16" t="s">
        <v>1188</v>
      </c>
      <c r="D106" t="s">
        <v>7</v>
      </c>
      <c r="F106" t="b">
        <f t="shared" si="1"/>
        <v>0</v>
      </c>
    </row>
    <row r="107" spans="1:6" ht="16" x14ac:dyDescent="0.2">
      <c r="A107">
        <v>21</v>
      </c>
      <c r="B107" t="s">
        <v>2</v>
      </c>
      <c r="C107" s="16" t="s">
        <v>760</v>
      </c>
      <c r="D107" t="s">
        <v>7</v>
      </c>
      <c r="F107" t="b">
        <f t="shared" si="1"/>
        <v>0</v>
      </c>
    </row>
    <row r="108" spans="1:6" ht="16" x14ac:dyDescent="0.2">
      <c r="A108">
        <v>21</v>
      </c>
      <c r="B108" t="s">
        <v>3</v>
      </c>
      <c r="C108" s="16" t="s">
        <v>1189</v>
      </c>
      <c r="D108" t="s">
        <v>8</v>
      </c>
      <c r="F108" t="b">
        <f t="shared" si="1"/>
        <v>0</v>
      </c>
    </row>
    <row r="109" spans="1:6" x14ac:dyDescent="0.2">
      <c r="A109">
        <v>22</v>
      </c>
      <c r="B109" s="22" t="s">
        <v>1190</v>
      </c>
      <c r="C109" s="22"/>
      <c r="D109" s="22"/>
      <c r="E109" s="22"/>
      <c r="F109" s="22"/>
    </row>
    <row r="110" spans="1:6" ht="16" x14ac:dyDescent="0.2">
      <c r="A110">
        <v>22</v>
      </c>
      <c r="B110" t="s">
        <v>0</v>
      </c>
      <c r="C110" s="16" t="s">
        <v>1191</v>
      </c>
      <c r="D110" t="s">
        <v>8</v>
      </c>
      <c r="F110" t="b">
        <f t="shared" si="1"/>
        <v>0</v>
      </c>
    </row>
    <row r="111" spans="1:6" ht="16" x14ac:dyDescent="0.2">
      <c r="A111">
        <v>22</v>
      </c>
      <c r="B111" t="s">
        <v>1</v>
      </c>
      <c r="C111" s="16" t="s">
        <v>1192</v>
      </c>
      <c r="D111" t="s">
        <v>7</v>
      </c>
      <c r="F111" t="b">
        <f t="shared" si="1"/>
        <v>0</v>
      </c>
    </row>
    <row r="112" spans="1:6" ht="16" x14ac:dyDescent="0.2">
      <c r="A112">
        <v>22</v>
      </c>
      <c r="B112" t="s">
        <v>2</v>
      </c>
      <c r="C112" s="16" t="s">
        <v>1193</v>
      </c>
      <c r="D112" t="s">
        <v>7</v>
      </c>
      <c r="F112" t="b">
        <f t="shared" si="1"/>
        <v>0</v>
      </c>
    </row>
    <row r="113" spans="1:6" ht="16" x14ac:dyDescent="0.2">
      <c r="A113">
        <v>22</v>
      </c>
      <c r="B113" t="s">
        <v>3</v>
      </c>
      <c r="C113" s="16" t="s">
        <v>1194</v>
      </c>
      <c r="D113" t="s">
        <v>7</v>
      </c>
      <c r="F113" t="b">
        <f t="shared" si="1"/>
        <v>0</v>
      </c>
    </row>
    <row r="114" spans="1:6" x14ac:dyDescent="0.2">
      <c r="A114">
        <v>23</v>
      </c>
      <c r="B114" s="22" t="s">
        <v>1195</v>
      </c>
      <c r="C114" s="22"/>
      <c r="D114" s="22"/>
      <c r="E114" s="22"/>
      <c r="F114" s="22"/>
    </row>
    <row r="115" spans="1:6" ht="16" x14ac:dyDescent="0.2">
      <c r="A115">
        <v>23</v>
      </c>
      <c r="B115" t="s">
        <v>0</v>
      </c>
      <c r="C115" s="16" t="s">
        <v>1134</v>
      </c>
      <c r="D115" t="s">
        <v>8</v>
      </c>
      <c r="F115" t="b">
        <f t="shared" si="1"/>
        <v>0</v>
      </c>
    </row>
    <row r="116" spans="1:6" ht="16" x14ac:dyDescent="0.2">
      <c r="A116">
        <v>23</v>
      </c>
      <c r="B116" t="s">
        <v>1</v>
      </c>
      <c r="C116" s="16" t="s">
        <v>1196</v>
      </c>
      <c r="D116" t="s">
        <v>7</v>
      </c>
      <c r="F116" t="b">
        <f t="shared" si="1"/>
        <v>0</v>
      </c>
    </row>
    <row r="117" spans="1:6" ht="16" x14ac:dyDescent="0.2">
      <c r="A117">
        <v>23</v>
      </c>
      <c r="B117" t="s">
        <v>2</v>
      </c>
      <c r="C117" s="16" t="s">
        <v>5</v>
      </c>
      <c r="D117" t="s">
        <v>7</v>
      </c>
      <c r="F117" t="b">
        <f t="shared" si="1"/>
        <v>0</v>
      </c>
    </row>
    <row r="118" spans="1:6" ht="16" x14ac:dyDescent="0.2">
      <c r="A118">
        <v>23</v>
      </c>
      <c r="B118" t="s">
        <v>3</v>
      </c>
      <c r="C118" s="16" t="s">
        <v>1197</v>
      </c>
      <c r="D118" t="s">
        <v>7</v>
      </c>
      <c r="F118" t="b">
        <f t="shared" si="1"/>
        <v>0</v>
      </c>
    </row>
    <row r="119" spans="1:6" x14ac:dyDescent="0.2">
      <c r="A119">
        <v>24</v>
      </c>
      <c r="B119" s="22" t="s">
        <v>1198</v>
      </c>
      <c r="C119" s="22"/>
      <c r="D119" s="22"/>
      <c r="E119" s="22"/>
      <c r="F119" s="22"/>
    </row>
    <row r="120" spans="1:6" ht="16" x14ac:dyDescent="0.2">
      <c r="A120">
        <v>24</v>
      </c>
      <c r="B120" t="s">
        <v>0</v>
      </c>
      <c r="C120" s="16" t="s">
        <v>1199</v>
      </c>
      <c r="D120" t="s">
        <v>7</v>
      </c>
      <c r="F120" t="b">
        <f t="shared" si="1"/>
        <v>0</v>
      </c>
    </row>
    <row r="121" spans="1:6" ht="16" x14ac:dyDescent="0.2">
      <c r="A121">
        <v>24</v>
      </c>
      <c r="B121" t="s">
        <v>1</v>
      </c>
      <c r="C121" s="16" t="s">
        <v>1200</v>
      </c>
      <c r="D121" t="s">
        <v>8</v>
      </c>
      <c r="F121" t="b">
        <f t="shared" si="1"/>
        <v>0</v>
      </c>
    </row>
    <row r="122" spans="1:6" ht="16" x14ac:dyDescent="0.2">
      <c r="A122">
        <v>24</v>
      </c>
      <c r="B122" t="s">
        <v>2</v>
      </c>
      <c r="C122" s="16" t="s">
        <v>1201</v>
      </c>
      <c r="D122" t="s">
        <v>7</v>
      </c>
      <c r="F122" t="b">
        <f t="shared" si="1"/>
        <v>0</v>
      </c>
    </row>
    <row r="123" spans="1:6" ht="16" x14ac:dyDescent="0.2">
      <c r="A123">
        <v>24</v>
      </c>
      <c r="B123" t="s">
        <v>3</v>
      </c>
      <c r="C123" s="16" t="s">
        <v>1098</v>
      </c>
      <c r="D123" t="s">
        <v>7</v>
      </c>
      <c r="F123" t="b">
        <f t="shared" si="1"/>
        <v>0</v>
      </c>
    </row>
    <row r="124" spans="1:6" x14ac:dyDescent="0.2">
      <c r="A124">
        <v>25</v>
      </c>
      <c r="B124" s="22" t="s">
        <v>1202</v>
      </c>
      <c r="C124" s="22"/>
      <c r="D124" s="22"/>
      <c r="E124" s="22"/>
      <c r="F124" s="22"/>
    </row>
    <row r="125" spans="1:6" ht="16" x14ac:dyDescent="0.2">
      <c r="A125">
        <v>25</v>
      </c>
      <c r="B125" t="s">
        <v>0</v>
      </c>
      <c r="C125" s="16" t="s">
        <v>1203</v>
      </c>
      <c r="D125" t="s">
        <v>8</v>
      </c>
      <c r="F125" t="b">
        <f t="shared" si="1"/>
        <v>0</v>
      </c>
    </row>
    <row r="126" spans="1:6" ht="16" x14ac:dyDescent="0.2">
      <c r="A126">
        <v>25</v>
      </c>
      <c r="B126" t="s">
        <v>1</v>
      </c>
      <c r="C126" s="16" t="s">
        <v>1204</v>
      </c>
      <c r="D126" t="s">
        <v>7</v>
      </c>
      <c r="F126" t="b">
        <f t="shared" si="1"/>
        <v>0</v>
      </c>
    </row>
    <row r="127" spans="1:6" ht="16" x14ac:dyDescent="0.2">
      <c r="A127">
        <v>25</v>
      </c>
      <c r="B127" t="s">
        <v>2</v>
      </c>
      <c r="C127" s="16" t="s">
        <v>1205</v>
      </c>
      <c r="D127" t="s">
        <v>7</v>
      </c>
      <c r="F127" t="b">
        <f t="shared" si="1"/>
        <v>0</v>
      </c>
    </row>
    <row r="128" spans="1:6" ht="16" x14ac:dyDescent="0.2">
      <c r="A128">
        <v>25</v>
      </c>
      <c r="B128" t="s">
        <v>3</v>
      </c>
      <c r="C128" s="16" t="s">
        <v>1206</v>
      </c>
      <c r="D128" t="s">
        <v>7</v>
      </c>
      <c r="F128" t="b">
        <f t="shared" si="1"/>
        <v>0</v>
      </c>
    </row>
    <row r="129" spans="1:6" x14ac:dyDescent="0.2">
      <c r="A129">
        <v>26</v>
      </c>
      <c r="B129" s="22" t="s">
        <v>1207</v>
      </c>
      <c r="C129" s="22"/>
      <c r="D129" s="22"/>
      <c r="E129" s="22"/>
      <c r="F129" s="22"/>
    </row>
    <row r="130" spans="1:6" ht="16" x14ac:dyDescent="0.2">
      <c r="A130">
        <v>26</v>
      </c>
      <c r="B130" t="s">
        <v>0</v>
      </c>
      <c r="C130" s="16" t="s">
        <v>1208</v>
      </c>
      <c r="D130" t="s">
        <v>7</v>
      </c>
      <c r="F130" t="b">
        <f t="shared" si="1"/>
        <v>0</v>
      </c>
    </row>
    <row r="131" spans="1:6" ht="16" x14ac:dyDescent="0.2">
      <c r="A131">
        <v>26</v>
      </c>
      <c r="B131" t="s">
        <v>1</v>
      </c>
      <c r="C131" s="16" t="s">
        <v>1209</v>
      </c>
      <c r="D131" t="s">
        <v>7</v>
      </c>
      <c r="F131" t="b">
        <f t="shared" si="1"/>
        <v>0</v>
      </c>
    </row>
    <row r="132" spans="1:6" ht="16" x14ac:dyDescent="0.2">
      <c r="A132">
        <v>26</v>
      </c>
      <c r="B132" t="s">
        <v>2</v>
      </c>
      <c r="C132" s="16" t="s">
        <v>1099</v>
      </c>
      <c r="D132" t="s">
        <v>8</v>
      </c>
      <c r="F132" t="b">
        <f t="shared" si="1"/>
        <v>0</v>
      </c>
    </row>
    <row r="133" spans="1:6" ht="16" x14ac:dyDescent="0.2">
      <c r="A133">
        <v>26</v>
      </c>
      <c r="B133" t="s">
        <v>3</v>
      </c>
      <c r="C133" s="16" t="s">
        <v>1093</v>
      </c>
      <c r="D133" t="s">
        <v>7</v>
      </c>
      <c r="F133" t="b">
        <f t="shared" ref="F133:F194" si="2">D133=E133</f>
        <v>0</v>
      </c>
    </row>
    <row r="134" spans="1:6" x14ac:dyDescent="0.2">
      <c r="A134">
        <v>27</v>
      </c>
      <c r="B134" s="22" t="s">
        <v>1210</v>
      </c>
      <c r="C134" s="22"/>
      <c r="D134" s="22"/>
      <c r="E134" s="22"/>
      <c r="F134" s="22"/>
    </row>
    <row r="135" spans="1:6" ht="16" x14ac:dyDescent="0.2">
      <c r="A135">
        <v>27</v>
      </c>
      <c r="B135" t="s">
        <v>0</v>
      </c>
      <c r="C135" s="16" t="s">
        <v>1211</v>
      </c>
      <c r="D135" t="s">
        <v>7</v>
      </c>
      <c r="F135" t="b">
        <f t="shared" si="2"/>
        <v>0</v>
      </c>
    </row>
    <row r="136" spans="1:6" ht="16" x14ac:dyDescent="0.2">
      <c r="A136">
        <v>27</v>
      </c>
      <c r="B136" t="s">
        <v>1</v>
      </c>
      <c r="C136" s="16" t="s">
        <v>1212</v>
      </c>
      <c r="D136" t="s">
        <v>8</v>
      </c>
      <c r="F136" t="b">
        <f t="shared" si="2"/>
        <v>0</v>
      </c>
    </row>
    <row r="137" spans="1:6" ht="16" x14ac:dyDescent="0.2">
      <c r="A137">
        <v>27</v>
      </c>
      <c r="B137" t="s">
        <v>2</v>
      </c>
      <c r="C137" s="16" t="s">
        <v>1213</v>
      </c>
      <c r="D137" t="s">
        <v>7</v>
      </c>
      <c r="F137" t="b">
        <f t="shared" si="2"/>
        <v>0</v>
      </c>
    </row>
    <row r="138" spans="1:6" ht="16" x14ac:dyDescent="0.2">
      <c r="A138">
        <v>27</v>
      </c>
      <c r="B138" t="s">
        <v>3</v>
      </c>
      <c r="C138" s="16" t="s">
        <v>1214</v>
      </c>
      <c r="D138" t="s">
        <v>7</v>
      </c>
      <c r="F138" t="b">
        <f t="shared" si="2"/>
        <v>0</v>
      </c>
    </row>
    <row r="139" spans="1:6" ht="28.5" customHeight="1" x14ac:dyDescent="0.2">
      <c r="A139">
        <v>28</v>
      </c>
      <c r="B139" s="22" t="s">
        <v>1215</v>
      </c>
      <c r="C139" s="22"/>
      <c r="D139" s="22"/>
      <c r="E139" s="22"/>
      <c r="F139" s="22"/>
    </row>
    <row r="140" spans="1:6" ht="16" x14ac:dyDescent="0.2">
      <c r="A140">
        <v>28</v>
      </c>
      <c r="B140" t="s">
        <v>0</v>
      </c>
      <c r="C140" s="16" t="s">
        <v>1216</v>
      </c>
      <c r="D140" t="s">
        <v>7</v>
      </c>
      <c r="F140" t="b">
        <f t="shared" si="2"/>
        <v>0</v>
      </c>
    </row>
    <row r="141" spans="1:6" ht="16" x14ac:dyDescent="0.2">
      <c r="A141">
        <v>28</v>
      </c>
      <c r="B141" t="s">
        <v>1</v>
      </c>
      <c r="C141" s="16" t="s">
        <v>1217</v>
      </c>
      <c r="D141" t="s">
        <v>8</v>
      </c>
      <c r="F141" t="b">
        <f t="shared" si="2"/>
        <v>0</v>
      </c>
    </row>
    <row r="142" spans="1:6" ht="16" x14ac:dyDescent="0.2">
      <c r="A142">
        <v>28</v>
      </c>
      <c r="B142" t="s">
        <v>2</v>
      </c>
      <c r="C142" s="16" t="s">
        <v>1218</v>
      </c>
      <c r="D142" t="s">
        <v>7</v>
      </c>
      <c r="F142" t="b">
        <f t="shared" si="2"/>
        <v>0</v>
      </c>
    </row>
    <row r="143" spans="1:6" ht="16" x14ac:dyDescent="0.2">
      <c r="A143">
        <v>28</v>
      </c>
      <c r="B143" t="s">
        <v>3</v>
      </c>
      <c r="C143" s="16" t="s">
        <v>1093</v>
      </c>
      <c r="D143" t="s">
        <v>8</v>
      </c>
      <c r="F143" t="b">
        <f t="shared" si="2"/>
        <v>0</v>
      </c>
    </row>
    <row r="144" spans="1:6" ht="33" customHeight="1" x14ac:dyDescent="0.2">
      <c r="A144">
        <v>29</v>
      </c>
      <c r="B144" s="22" t="s">
        <v>1219</v>
      </c>
      <c r="C144" s="22"/>
      <c r="D144" s="22"/>
      <c r="E144" s="22"/>
      <c r="F144" s="22"/>
    </row>
    <row r="145" spans="1:6" ht="16" x14ac:dyDescent="0.2">
      <c r="A145">
        <v>29</v>
      </c>
      <c r="B145" t="s">
        <v>0</v>
      </c>
      <c r="C145" s="16" t="s">
        <v>1220</v>
      </c>
      <c r="D145" t="s">
        <v>8</v>
      </c>
      <c r="F145" t="b">
        <f t="shared" si="2"/>
        <v>0</v>
      </c>
    </row>
    <row r="146" spans="1:6" ht="16" x14ac:dyDescent="0.2">
      <c r="A146">
        <v>29</v>
      </c>
      <c r="B146" t="s">
        <v>1</v>
      </c>
      <c r="C146" s="16" t="s">
        <v>1221</v>
      </c>
      <c r="D146" t="s">
        <v>7</v>
      </c>
      <c r="F146" t="b">
        <f t="shared" si="2"/>
        <v>0</v>
      </c>
    </row>
    <row r="147" spans="1:6" ht="16" x14ac:dyDescent="0.2">
      <c r="A147">
        <v>29</v>
      </c>
      <c r="B147" t="s">
        <v>2</v>
      </c>
      <c r="C147" s="16" t="s">
        <v>1222</v>
      </c>
      <c r="D147" t="s">
        <v>7</v>
      </c>
      <c r="F147" t="b">
        <f t="shared" si="2"/>
        <v>0</v>
      </c>
    </row>
    <row r="148" spans="1:6" ht="16" x14ac:dyDescent="0.2">
      <c r="A148">
        <v>29</v>
      </c>
      <c r="B148" t="s">
        <v>3</v>
      </c>
      <c r="C148" s="16" t="s">
        <v>1223</v>
      </c>
      <c r="D148" t="s">
        <v>7</v>
      </c>
      <c r="F148" t="b">
        <f t="shared" si="2"/>
        <v>0</v>
      </c>
    </row>
    <row r="149" spans="1:6" ht="29.25" customHeight="1" x14ac:dyDescent="0.2">
      <c r="A149">
        <v>30</v>
      </c>
      <c r="B149" s="22" t="s">
        <v>1224</v>
      </c>
      <c r="C149" s="22"/>
      <c r="D149" s="22"/>
      <c r="E149" s="22"/>
      <c r="F149" s="22"/>
    </row>
    <row r="150" spans="1:6" ht="16" x14ac:dyDescent="0.2">
      <c r="A150">
        <v>30</v>
      </c>
      <c r="B150" t="s">
        <v>0</v>
      </c>
      <c r="C150" s="16" t="s">
        <v>1225</v>
      </c>
      <c r="D150" t="s">
        <v>7</v>
      </c>
      <c r="F150" t="b">
        <f t="shared" si="2"/>
        <v>0</v>
      </c>
    </row>
    <row r="151" spans="1:6" ht="16" x14ac:dyDescent="0.2">
      <c r="A151">
        <v>30</v>
      </c>
      <c r="B151" t="s">
        <v>1</v>
      </c>
      <c r="C151" s="16" t="s">
        <v>1226</v>
      </c>
      <c r="D151" t="s">
        <v>7</v>
      </c>
      <c r="F151" t="b">
        <f t="shared" si="2"/>
        <v>0</v>
      </c>
    </row>
    <row r="152" spans="1:6" ht="16" x14ac:dyDescent="0.2">
      <c r="A152">
        <v>30</v>
      </c>
      <c r="B152" t="s">
        <v>2</v>
      </c>
      <c r="C152" s="16" t="s">
        <v>1227</v>
      </c>
      <c r="D152" t="s">
        <v>8</v>
      </c>
      <c r="F152" t="b">
        <f t="shared" si="2"/>
        <v>0</v>
      </c>
    </row>
    <row r="153" spans="1:6" ht="16" x14ac:dyDescent="0.2">
      <c r="A153">
        <v>30</v>
      </c>
      <c r="B153" t="s">
        <v>3</v>
      </c>
      <c r="C153" s="16" t="s">
        <v>1228</v>
      </c>
      <c r="D153" t="s">
        <v>7</v>
      </c>
      <c r="F153" t="b">
        <f t="shared" si="2"/>
        <v>0</v>
      </c>
    </row>
    <row r="154" spans="1:6" x14ac:dyDescent="0.2">
      <c r="A154">
        <v>31</v>
      </c>
      <c r="B154" s="22" t="s">
        <v>1229</v>
      </c>
      <c r="C154" s="22"/>
      <c r="D154" s="22"/>
      <c r="E154" s="22"/>
      <c r="F154" s="22"/>
    </row>
    <row r="155" spans="1:6" ht="32" x14ac:dyDescent="0.2">
      <c r="A155">
        <v>31</v>
      </c>
      <c r="B155" t="s">
        <v>0</v>
      </c>
      <c r="C155" s="16" t="s">
        <v>1230</v>
      </c>
      <c r="D155" t="s">
        <v>7</v>
      </c>
      <c r="F155" t="b">
        <f t="shared" si="2"/>
        <v>0</v>
      </c>
    </row>
    <row r="156" spans="1:6" ht="16" x14ac:dyDescent="0.2">
      <c r="A156">
        <v>31</v>
      </c>
      <c r="B156" t="s">
        <v>1</v>
      </c>
      <c r="C156" s="16" t="s">
        <v>1231</v>
      </c>
      <c r="D156" t="s">
        <v>7</v>
      </c>
      <c r="F156" t="b">
        <f t="shared" si="2"/>
        <v>0</v>
      </c>
    </row>
    <row r="157" spans="1:6" ht="16" x14ac:dyDescent="0.2">
      <c r="A157">
        <v>31</v>
      </c>
      <c r="B157" t="s">
        <v>2</v>
      </c>
      <c r="C157" s="16" t="s">
        <v>1232</v>
      </c>
      <c r="D157" t="s">
        <v>7</v>
      </c>
      <c r="F157" t="b">
        <f t="shared" si="2"/>
        <v>0</v>
      </c>
    </row>
    <row r="158" spans="1:6" ht="32" x14ac:dyDescent="0.2">
      <c r="A158">
        <v>31</v>
      </c>
      <c r="B158" t="s">
        <v>3</v>
      </c>
      <c r="C158" s="16" t="s">
        <v>1233</v>
      </c>
      <c r="D158" t="s">
        <v>8</v>
      </c>
      <c r="F158" t="b">
        <f t="shared" si="2"/>
        <v>0</v>
      </c>
    </row>
    <row r="159" spans="1:6" ht="32" x14ac:dyDescent="0.2">
      <c r="A159">
        <v>31</v>
      </c>
      <c r="B159" t="s">
        <v>6</v>
      </c>
      <c r="C159" s="16" t="s">
        <v>1234</v>
      </c>
      <c r="D159" t="s">
        <v>7</v>
      </c>
      <c r="F159" t="b">
        <f t="shared" si="2"/>
        <v>0</v>
      </c>
    </row>
    <row r="160" spans="1:6" ht="32.25" customHeight="1" x14ac:dyDescent="0.2">
      <c r="A160">
        <v>32</v>
      </c>
      <c r="B160" s="22" t="s">
        <v>1235</v>
      </c>
      <c r="C160" s="22"/>
      <c r="D160" s="22"/>
      <c r="E160" s="22"/>
      <c r="F160" s="22"/>
    </row>
    <row r="161" spans="1:6" ht="16" x14ac:dyDescent="0.2">
      <c r="A161">
        <v>32</v>
      </c>
      <c r="B161" t="s">
        <v>0</v>
      </c>
      <c r="C161" s="16" t="s">
        <v>1236</v>
      </c>
      <c r="D161" t="s">
        <v>7</v>
      </c>
      <c r="F161" t="b">
        <f t="shared" si="2"/>
        <v>0</v>
      </c>
    </row>
    <row r="162" spans="1:6" ht="16" x14ac:dyDescent="0.2">
      <c r="A162">
        <v>32</v>
      </c>
      <c r="B162" t="s">
        <v>1</v>
      </c>
      <c r="C162" s="16" t="s">
        <v>1237</v>
      </c>
      <c r="D162" t="s">
        <v>7</v>
      </c>
      <c r="F162" t="b">
        <f t="shared" si="2"/>
        <v>0</v>
      </c>
    </row>
    <row r="163" spans="1:6" ht="16" x14ac:dyDescent="0.2">
      <c r="A163">
        <v>32</v>
      </c>
      <c r="B163" t="s">
        <v>2</v>
      </c>
      <c r="C163" s="16" t="s">
        <v>1238</v>
      </c>
      <c r="D163" t="s">
        <v>8</v>
      </c>
      <c r="F163" t="b">
        <f t="shared" si="2"/>
        <v>0</v>
      </c>
    </row>
    <row r="164" spans="1:6" ht="16" x14ac:dyDescent="0.2">
      <c r="A164">
        <v>32</v>
      </c>
      <c r="B164" t="s">
        <v>3</v>
      </c>
      <c r="C164" s="16" t="s">
        <v>1239</v>
      </c>
      <c r="D164" t="s">
        <v>7</v>
      </c>
      <c r="F164" t="b">
        <f t="shared" si="2"/>
        <v>0</v>
      </c>
    </row>
    <row r="165" spans="1:6" ht="45.75" customHeight="1" x14ac:dyDescent="0.2">
      <c r="A165">
        <v>33</v>
      </c>
      <c r="B165" s="22" t="s">
        <v>1240</v>
      </c>
      <c r="C165" s="22"/>
      <c r="D165" s="22"/>
      <c r="E165" s="22"/>
      <c r="F165" s="22"/>
    </row>
    <row r="166" spans="1:6" ht="16" x14ac:dyDescent="0.2">
      <c r="A166">
        <v>33</v>
      </c>
      <c r="B166" t="s">
        <v>0</v>
      </c>
      <c r="C166" s="16" t="s">
        <v>1241</v>
      </c>
      <c r="D166" t="s">
        <v>7</v>
      </c>
      <c r="F166" t="b">
        <f t="shared" si="2"/>
        <v>0</v>
      </c>
    </row>
    <row r="167" spans="1:6" ht="16" x14ac:dyDescent="0.2">
      <c r="A167">
        <v>33</v>
      </c>
      <c r="B167" t="s">
        <v>1</v>
      </c>
      <c r="C167" s="16" t="s">
        <v>1093</v>
      </c>
      <c r="D167" t="s">
        <v>8</v>
      </c>
      <c r="F167" t="b">
        <f t="shared" si="2"/>
        <v>0</v>
      </c>
    </row>
    <row r="168" spans="1:6" ht="16" x14ac:dyDescent="0.2">
      <c r="A168">
        <v>33</v>
      </c>
      <c r="B168" t="s">
        <v>2</v>
      </c>
      <c r="C168" s="16" t="s">
        <v>1242</v>
      </c>
      <c r="D168" t="s">
        <v>7</v>
      </c>
      <c r="F168" t="b">
        <f t="shared" si="2"/>
        <v>0</v>
      </c>
    </row>
    <row r="169" spans="1:6" ht="16" x14ac:dyDescent="0.2">
      <c r="A169">
        <v>33</v>
      </c>
      <c r="B169" t="s">
        <v>3</v>
      </c>
      <c r="C169" s="16" t="s">
        <v>1243</v>
      </c>
      <c r="D169" t="s">
        <v>7</v>
      </c>
      <c r="F169" t="b">
        <f t="shared" si="2"/>
        <v>0</v>
      </c>
    </row>
    <row r="170" spans="1:6" x14ac:dyDescent="0.2">
      <c r="A170">
        <v>34</v>
      </c>
      <c r="B170" s="22" t="s">
        <v>1244</v>
      </c>
      <c r="C170" s="22"/>
      <c r="D170" s="22"/>
      <c r="E170" s="22"/>
      <c r="F170" s="22"/>
    </row>
    <row r="171" spans="1:6" ht="32" x14ac:dyDescent="0.2">
      <c r="A171">
        <v>34</v>
      </c>
      <c r="B171" t="s">
        <v>0</v>
      </c>
      <c r="C171" s="16" t="s">
        <v>1245</v>
      </c>
      <c r="D171" t="s">
        <v>1246</v>
      </c>
      <c r="F171" t="b">
        <f t="shared" si="2"/>
        <v>0</v>
      </c>
    </row>
    <row r="172" spans="1:6" ht="32" x14ac:dyDescent="0.2">
      <c r="A172">
        <v>34</v>
      </c>
      <c r="B172" t="s">
        <v>1</v>
      </c>
      <c r="C172" s="16" t="s">
        <v>1247</v>
      </c>
      <c r="D172" t="s">
        <v>8</v>
      </c>
      <c r="F172" t="b">
        <f t="shared" si="2"/>
        <v>0</v>
      </c>
    </row>
    <row r="173" spans="1:6" ht="32" x14ac:dyDescent="0.2">
      <c r="A173">
        <v>34</v>
      </c>
      <c r="B173" t="s">
        <v>2</v>
      </c>
      <c r="C173" s="16" t="s">
        <v>1248</v>
      </c>
      <c r="D173" t="s">
        <v>7</v>
      </c>
      <c r="F173" t="b">
        <f t="shared" si="2"/>
        <v>0</v>
      </c>
    </row>
    <row r="174" spans="1:6" ht="32" x14ac:dyDescent="0.2">
      <c r="A174">
        <v>34</v>
      </c>
      <c r="B174" t="s">
        <v>3</v>
      </c>
      <c r="C174" s="16" t="s">
        <v>1249</v>
      </c>
      <c r="D174" t="s">
        <v>7</v>
      </c>
      <c r="F174" t="b">
        <f t="shared" si="2"/>
        <v>0</v>
      </c>
    </row>
    <row r="175" spans="1:6" ht="29.25" customHeight="1" x14ac:dyDescent="0.2">
      <c r="A175">
        <v>35</v>
      </c>
      <c r="B175" s="22" t="s">
        <v>1250</v>
      </c>
      <c r="C175" s="22"/>
      <c r="D175" s="22"/>
      <c r="E175" s="22"/>
      <c r="F175" s="22"/>
    </row>
    <row r="176" spans="1:6" ht="16" x14ac:dyDescent="0.2">
      <c r="A176">
        <v>35</v>
      </c>
      <c r="B176" t="s">
        <v>0</v>
      </c>
      <c r="C176" s="16" t="s">
        <v>1251</v>
      </c>
      <c r="D176" t="s">
        <v>7</v>
      </c>
      <c r="F176" t="b">
        <f t="shared" si="2"/>
        <v>0</v>
      </c>
    </row>
    <row r="177" spans="1:6" ht="16" x14ac:dyDescent="0.2">
      <c r="A177">
        <v>35</v>
      </c>
      <c r="B177" t="s">
        <v>1</v>
      </c>
      <c r="C177" s="16" t="s">
        <v>1252</v>
      </c>
      <c r="D177" t="s">
        <v>7</v>
      </c>
      <c r="F177" t="b">
        <f t="shared" si="2"/>
        <v>0</v>
      </c>
    </row>
    <row r="178" spans="1:6" ht="16" x14ac:dyDescent="0.2">
      <c r="A178">
        <v>35</v>
      </c>
      <c r="B178" t="s">
        <v>2</v>
      </c>
      <c r="C178" s="16" t="s">
        <v>1253</v>
      </c>
      <c r="D178" t="s">
        <v>8</v>
      </c>
      <c r="F178" t="b">
        <f t="shared" si="2"/>
        <v>0</v>
      </c>
    </row>
    <row r="179" spans="1:6" ht="16" x14ac:dyDescent="0.2">
      <c r="A179">
        <v>35</v>
      </c>
      <c r="B179" t="s">
        <v>3</v>
      </c>
      <c r="C179" s="16" t="s">
        <v>1254</v>
      </c>
      <c r="D179" t="s">
        <v>7</v>
      </c>
      <c r="F179" t="b">
        <f t="shared" si="2"/>
        <v>0</v>
      </c>
    </row>
    <row r="180" spans="1:6" x14ac:dyDescent="0.2">
      <c r="A180">
        <v>36</v>
      </c>
      <c r="B180" s="22" t="s">
        <v>1255</v>
      </c>
      <c r="C180" s="22"/>
      <c r="D180" s="22"/>
      <c r="E180" s="22"/>
      <c r="F180" s="22"/>
    </row>
    <row r="181" spans="1:6" ht="16" x14ac:dyDescent="0.2">
      <c r="A181">
        <v>36</v>
      </c>
      <c r="B181" t="s">
        <v>0</v>
      </c>
      <c r="C181" s="16" t="s">
        <v>1256</v>
      </c>
      <c r="D181" t="s">
        <v>8</v>
      </c>
      <c r="F181" t="b">
        <f t="shared" si="2"/>
        <v>0</v>
      </c>
    </row>
    <row r="182" spans="1:6" ht="16" x14ac:dyDescent="0.2">
      <c r="A182">
        <v>36</v>
      </c>
      <c r="B182" t="s">
        <v>1</v>
      </c>
      <c r="C182" s="16" t="s">
        <v>1257</v>
      </c>
      <c r="D182" t="s">
        <v>7</v>
      </c>
      <c r="F182" t="b">
        <f t="shared" si="2"/>
        <v>0</v>
      </c>
    </row>
    <row r="183" spans="1:6" ht="16" x14ac:dyDescent="0.2">
      <c r="A183">
        <v>36</v>
      </c>
      <c r="B183" t="s">
        <v>2</v>
      </c>
      <c r="C183" s="16" t="s">
        <v>1258</v>
      </c>
      <c r="D183" t="s">
        <v>8</v>
      </c>
      <c r="F183" t="b">
        <f t="shared" si="2"/>
        <v>0</v>
      </c>
    </row>
    <row r="184" spans="1:6" ht="16" x14ac:dyDescent="0.2">
      <c r="A184">
        <v>36</v>
      </c>
      <c r="B184" t="s">
        <v>3</v>
      </c>
      <c r="C184" s="16" t="s">
        <v>1259</v>
      </c>
      <c r="D184" t="s">
        <v>7</v>
      </c>
      <c r="F184" t="b">
        <f t="shared" si="2"/>
        <v>0</v>
      </c>
    </row>
    <row r="185" spans="1:6" ht="48" customHeight="1" x14ac:dyDescent="0.2">
      <c r="A185">
        <v>37</v>
      </c>
      <c r="B185" s="22" t="s">
        <v>1260</v>
      </c>
      <c r="C185" s="22"/>
      <c r="D185" s="22"/>
      <c r="E185" s="22"/>
      <c r="F185" s="22"/>
    </row>
    <row r="186" spans="1:6" ht="16" x14ac:dyDescent="0.2">
      <c r="A186">
        <v>37</v>
      </c>
      <c r="B186" t="s">
        <v>0</v>
      </c>
      <c r="C186" s="16" t="s">
        <v>1261</v>
      </c>
      <c r="D186" t="s">
        <v>7</v>
      </c>
      <c r="F186" t="b">
        <f t="shared" si="2"/>
        <v>0</v>
      </c>
    </row>
    <row r="187" spans="1:6" ht="16" x14ac:dyDescent="0.2">
      <c r="A187">
        <v>37</v>
      </c>
      <c r="B187" t="s">
        <v>1</v>
      </c>
      <c r="C187" s="16" t="s">
        <v>10</v>
      </c>
      <c r="D187" t="s">
        <v>7</v>
      </c>
      <c r="F187" t="b">
        <f t="shared" si="2"/>
        <v>0</v>
      </c>
    </row>
    <row r="188" spans="1:6" ht="16" x14ac:dyDescent="0.2">
      <c r="A188">
        <v>37</v>
      </c>
      <c r="B188" t="s">
        <v>2</v>
      </c>
      <c r="C188" s="16" t="s">
        <v>1262</v>
      </c>
      <c r="D188" t="s">
        <v>8</v>
      </c>
      <c r="F188" t="b">
        <f t="shared" si="2"/>
        <v>0</v>
      </c>
    </row>
    <row r="189" spans="1:6" ht="16" x14ac:dyDescent="0.2">
      <c r="A189">
        <v>37</v>
      </c>
      <c r="B189" t="s">
        <v>3</v>
      </c>
      <c r="C189" s="16" t="s">
        <v>1263</v>
      </c>
      <c r="D189" t="s">
        <v>7</v>
      </c>
      <c r="F189" t="b">
        <f t="shared" si="2"/>
        <v>0</v>
      </c>
    </row>
    <row r="190" spans="1:6" ht="45" customHeight="1" x14ac:dyDescent="0.2">
      <c r="A190">
        <v>38</v>
      </c>
      <c r="B190" s="22" t="s">
        <v>1264</v>
      </c>
      <c r="C190" s="22"/>
      <c r="D190" s="22"/>
      <c r="E190" s="22"/>
      <c r="F190" s="22"/>
    </row>
    <row r="191" spans="1:6" ht="16" x14ac:dyDescent="0.2">
      <c r="A191">
        <v>38</v>
      </c>
      <c r="B191" t="s">
        <v>0</v>
      </c>
      <c r="C191" s="16" t="s">
        <v>1265</v>
      </c>
      <c r="D191" t="s">
        <v>8</v>
      </c>
      <c r="F191" t="b">
        <f t="shared" si="2"/>
        <v>0</v>
      </c>
    </row>
    <row r="192" spans="1:6" ht="32" x14ac:dyDescent="0.2">
      <c r="A192">
        <v>38</v>
      </c>
      <c r="B192" t="s">
        <v>1</v>
      </c>
      <c r="C192" s="16" t="s">
        <v>1266</v>
      </c>
      <c r="D192" t="s">
        <v>8</v>
      </c>
      <c r="F192" t="b">
        <f t="shared" si="2"/>
        <v>0</v>
      </c>
    </row>
    <row r="193" spans="1:6" ht="16" x14ac:dyDescent="0.2">
      <c r="A193">
        <v>38</v>
      </c>
      <c r="B193" t="s">
        <v>2</v>
      </c>
      <c r="C193" s="16" t="s">
        <v>1267</v>
      </c>
      <c r="D193" t="s">
        <v>7</v>
      </c>
      <c r="F193" t="b">
        <f t="shared" si="2"/>
        <v>0</v>
      </c>
    </row>
    <row r="194" spans="1:6" ht="16" x14ac:dyDescent="0.2">
      <c r="A194">
        <v>38</v>
      </c>
      <c r="B194" t="s">
        <v>3</v>
      </c>
      <c r="C194" s="16" t="s">
        <v>1268</v>
      </c>
      <c r="D194" t="s">
        <v>7</v>
      </c>
      <c r="F194" t="b">
        <f t="shared" si="2"/>
        <v>0</v>
      </c>
    </row>
    <row r="195" spans="1:6" x14ac:dyDescent="0.2">
      <c r="A195">
        <v>39</v>
      </c>
      <c r="B195" s="22" t="s">
        <v>1269</v>
      </c>
      <c r="C195" s="22"/>
      <c r="D195" s="22"/>
      <c r="E195" s="22"/>
      <c r="F195" s="22"/>
    </row>
    <row r="196" spans="1:6" ht="16" x14ac:dyDescent="0.2">
      <c r="A196">
        <v>39</v>
      </c>
      <c r="B196" t="s">
        <v>0</v>
      </c>
      <c r="C196" s="16" t="s">
        <v>1270</v>
      </c>
      <c r="D196" t="s">
        <v>8</v>
      </c>
      <c r="F196" t="b">
        <f t="shared" ref="F196:F259" si="3">D196=E196</f>
        <v>0</v>
      </c>
    </row>
    <row r="197" spans="1:6" ht="16" x14ac:dyDescent="0.2">
      <c r="A197">
        <v>39</v>
      </c>
      <c r="B197" t="s">
        <v>1</v>
      </c>
      <c r="C197" s="16" t="s">
        <v>1271</v>
      </c>
      <c r="D197" t="s">
        <v>7</v>
      </c>
      <c r="F197" t="b">
        <f t="shared" si="3"/>
        <v>0</v>
      </c>
    </row>
    <row r="198" spans="1:6" ht="16" x14ac:dyDescent="0.2">
      <c r="A198">
        <v>39</v>
      </c>
      <c r="B198" t="s">
        <v>2</v>
      </c>
      <c r="C198" s="16" t="s">
        <v>1272</v>
      </c>
      <c r="D198" t="s">
        <v>8</v>
      </c>
      <c r="F198" t="b">
        <f t="shared" si="3"/>
        <v>0</v>
      </c>
    </row>
    <row r="199" spans="1:6" ht="16" x14ac:dyDescent="0.2">
      <c r="A199">
        <v>39</v>
      </c>
      <c r="B199" t="s">
        <v>3</v>
      </c>
      <c r="C199" s="16" t="s">
        <v>1273</v>
      </c>
      <c r="D199" t="s">
        <v>8</v>
      </c>
      <c r="F199" t="b">
        <f t="shared" si="3"/>
        <v>0</v>
      </c>
    </row>
    <row r="200" spans="1:6" x14ac:dyDescent="0.2">
      <c r="A200">
        <v>40</v>
      </c>
      <c r="B200" s="22" t="s">
        <v>1274</v>
      </c>
      <c r="C200" s="22"/>
      <c r="D200" s="22"/>
      <c r="E200" s="22"/>
      <c r="F200" s="22"/>
    </row>
    <row r="201" spans="1:6" ht="16" x14ac:dyDescent="0.2">
      <c r="A201">
        <v>40</v>
      </c>
      <c r="B201" t="s">
        <v>0</v>
      </c>
      <c r="C201" s="16" t="s">
        <v>1275</v>
      </c>
      <c r="D201" t="s">
        <v>7</v>
      </c>
      <c r="F201" t="b">
        <f t="shared" si="3"/>
        <v>0</v>
      </c>
    </row>
    <row r="202" spans="1:6" ht="16" x14ac:dyDescent="0.2">
      <c r="A202">
        <v>40</v>
      </c>
      <c r="B202" t="s">
        <v>1</v>
      </c>
      <c r="C202" s="16" t="s">
        <v>11</v>
      </c>
      <c r="D202" t="s">
        <v>7</v>
      </c>
      <c r="F202" t="b">
        <f t="shared" si="3"/>
        <v>0</v>
      </c>
    </row>
    <row r="203" spans="1:6" ht="16" x14ac:dyDescent="0.2">
      <c r="A203">
        <v>40</v>
      </c>
      <c r="B203" t="s">
        <v>2</v>
      </c>
      <c r="C203" s="16" t="s">
        <v>12</v>
      </c>
      <c r="D203" t="s">
        <v>7</v>
      </c>
      <c r="F203" t="b">
        <f t="shared" si="3"/>
        <v>0</v>
      </c>
    </row>
    <row r="204" spans="1:6" ht="16" x14ac:dyDescent="0.2">
      <c r="A204">
        <v>40</v>
      </c>
      <c r="B204" t="s">
        <v>3</v>
      </c>
      <c r="C204" s="16" t="s">
        <v>13</v>
      </c>
      <c r="D204" t="s">
        <v>8</v>
      </c>
      <c r="F204" t="b">
        <f t="shared" si="3"/>
        <v>0</v>
      </c>
    </row>
    <row r="205" spans="1:6" ht="48.75" customHeight="1" x14ac:dyDescent="0.2">
      <c r="A205">
        <v>41</v>
      </c>
      <c r="B205" s="22" t="s">
        <v>1276</v>
      </c>
      <c r="C205" s="22"/>
      <c r="D205" s="22"/>
      <c r="E205" s="22"/>
      <c r="F205" s="22"/>
    </row>
    <row r="206" spans="1:6" ht="16" x14ac:dyDescent="0.2">
      <c r="A206">
        <v>41</v>
      </c>
      <c r="B206" t="s">
        <v>0</v>
      </c>
      <c r="C206" s="16" t="s">
        <v>1275</v>
      </c>
      <c r="D206" t="s">
        <v>7</v>
      </c>
      <c r="F206" t="b">
        <f t="shared" si="3"/>
        <v>0</v>
      </c>
    </row>
    <row r="207" spans="1:6" ht="16" x14ac:dyDescent="0.2">
      <c r="A207">
        <v>41</v>
      </c>
      <c r="B207" t="s">
        <v>1</v>
      </c>
      <c r="C207" s="16" t="s">
        <v>11</v>
      </c>
      <c r="D207" t="s">
        <v>7</v>
      </c>
      <c r="F207" t="b">
        <f t="shared" si="3"/>
        <v>0</v>
      </c>
    </row>
    <row r="208" spans="1:6" ht="16" x14ac:dyDescent="0.2">
      <c r="A208">
        <v>41</v>
      </c>
      <c r="B208" t="s">
        <v>2</v>
      </c>
      <c r="C208" s="16" t="s">
        <v>12</v>
      </c>
      <c r="D208" t="s">
        <v>7</v>
      </c>
      <c r="F208" t="b">
        <f t="shared" si="3"/>
        <v>0</v>
      </c>
    </row>
    <row r="209" spans="1:6" ht="16" x14ac:dyDescent="0.2">
      <c r="A209">
        <v>41</v>
      </c>
      <c r="B209" t="s">
        <v>3</v>
      </c>
      <c r="C209" s="16" t="s">
        <v>13</v>
      </c>
      <c r="D209" t="s">
        <v>8</v>
      </c>
      <c r="F209" t="b">
        <f t="shared" si="3"/>
        <v>0</v>
      </c>
    </row>
    <row r="210" spans="1:6" x14ac:dyDescent="0.2">
      <c r="A210">
        <v>42</v>
      </c>
      <c r="B210" s="22" t="s">
        <v>1277</v>
      </c>
      <c r="C210" s="22"/>
      <c r="D210" s="22"/>
      <c r="E210" s="22"/>
      <c r="F210" s="22"/>
    </row>
    <row r="211" spans="1:6" ht="16" x14ac:dyDescent="0.2">
      <c r="A211">
        <v>42</v>
      </c>
      <c r="B211" t="s">
        <v>0</v>
      </c>
      <c r="C211" s="16" t="s">
        <v>1278</v>
      </c>
      <c r="D211" t="s">
        <v>7</v>
      </c>
      <c r="F211" t="b">
        <f t="shared" si="3"/>
        <v>0</v>
      </c>
    </row>
    <row r="212" spans="1:6" ht="16" x14ac:dyDescent="0.2">
      <c r="A212">
        <v>42</v>
      </c>
      <c r="B212" t="s">
        <v>1</v>
      </c>
      <c r="C212" s="16" t="s">
        <v>1279</v>
      </c>
      <c r="D212" t="s">
        <v>7</v>
      </c>
      <c r="F212" t="b">
        <f t="shared" si="3"/>
        <v>0</v>
      </c>
    </row>
    <row r="213" spans="1:6" ht="16" x14ac:dyDescent="0.2">
      <c r="A213">
        <v>42</v>
      </c>
      <c r="B213" t="s">
        <v>2</v>
      </c>
      <c r="C213" s="16" t="s">
        <v>1280</v>
      </c>
      <c r="D213" t="s">
        <v>8</v>
      </c>
      <c r="F213" t="b">
        <f t="shared" si="3"/>
        <v>0</v>
      </c>
    </row>
    <row r="214" spans="1:6" ht="16" x14ac:dyDescent="0.2">
      <c r="A214">
        <v>42</v>
      </c>
      <c r="B214" t="s">
        <v>3</v>
      </c>
      <c r="C214" s="16" t="s">
        <v>1281</v>
      </c>
      <c r="D214" t="s">
        <v>7</v>
      </c>
      <c r="F214" t="b">
        <f t="shared" si="3"/>
        <v>0</v>
      </c>
    </row>
    <row r="215" spans="1:6" ht="31.5" customHeight="1" x14ac:dyDescent="0.2">
      <c r="A215">
        <v>43</v>
      </c>
      <c r="B215" s="22" t="s">
        <v>1282</v>
      </c>
      <c r="C215" s="22"/>
      <c r="D215" s="22"/>
      <c r="E215" s="22"/>
      <c r="F215" s="22"/>
    </row>
    <row r="216" spans="1:6" ht="16" x14ac:dyDescent="0.2">
      <c r="A216">
        <v>43</v>
      </c>
      <c r="B216" t="s">
        <v>0</v>
      </c>
      <c r="C216" s="16" t="s">
        <v>1093</v>
      </c>
      <c r="D216" t="s">
        <v>8</v>
      </c>
      <c r="F216" t="b">
        <f t="shared" si="3"/>
        <v>0</v>
      </c>
    </row>
    <row r="217" spans="1:6" ht="16" x14ac:dyDescent="0.2">
      <c r="A217">
        <v>43</v>
      </c>
      <c r="B217" t="s">
        <v>1</v>
      </c>
      <c r="C217" s="16" t="s">
        <v>1217</v>
      </c>
      <c r="D217" t="s">
        <v>7</v>
      </c>
      <c r="F217" t="b">
        <f t="shared" si="3"/>
        <v>0</v>
      </c>
    </row>
    <row r="218" spans="1:6" ht="16" x14ac:dyDescent="0.2">
      <c r="A218">
        <v>43</v>
      </c>
      <c r="B218" t="s">
        <v>2</v>
      </c>
      <c r="C218" s="16" t="s">
        <v>1216</v>
      </c>
      <c r="D218" t="s">
        <v>7</v>
      </c>
      <c r="F218" t="b">
        <f t="shared" si="3"/>
        <v>0</v>
      </c>
    </row>
    <row r="219" spans="1:6" ht="16" x14ac:dyDescent="0.2">
      <c r="A219">
        <v>43</v>
      </c>
      <c r="B219" t="s">
        <v>3</v>
      </c>
      <c r="C219" s="16" t="s">
        <v>1218</v>
      </c>
      <c r="D219" t="s">
        <v>7</v>
      </c>
      <c r="F219" t="b">
        <f t="shared" si="3"/>
        <v>0</v>
      </c>
    </row>
    <row r="220" spans="1:6" ht="29.25" customHeight="1" x14ac:dyDescent="0.2">
      <c r="A220">
        <v>44</v>
      </c>
      <c r="B220" s="22" t="s">
        <v>1283</v>
      </c>
      <c r="C220" s="22"/>
      <c r="D220" s="22"/>
      <c r="E220" s="22"/>
      <c r="F220" s="22"/>
    </row>
    <row r="221" spans="1:6" ht="16" x14ac:dyDescent="0.2">
      <c r="A221">
        <v>44</v>
      </c>
      <c r="B221" t="s">
        <v>0</v>
      </c>
      <c r="C221" s="16" t="s">
        <v>867</v>
      </c>
      <c r="D221" t="s">
        <v>7</v>
      </c>
      <c r="F221" t="b">
        <f t="shared" si="3"/>
        <v>0</v>
      </c>
    </row>
    <row r="222" spans="1:6" ht="16" x14ac:dyDescent="0.2">
      <c r="A222">
        <v>44</v>
      </c>
      <c r="B222" t="s">
        <v>1</v>
      </c>
      <c r="C222" s="16" t="s">
        <v>1221</v>
      </c>
      <c r="D222" t="s">
        <v>7</v>
      </c>
      <c r="F222" t="b">
        <f t="shared" si="3"/>
        <v>0</v>
      </c>
    </row>
    <row r="223" spans="1:6" ht="16" x14ac:dyDescent="0.2">
      <c r="A223">
        <v>44</v>
      </c>
      <c r="B223" t="s">
        <v>2</v>
      </c>
      <c r="C223" s="16" t="s">
        <v>1284</v>
      </c>
      <c r="D223" t="s">
        <v>7</v>
      </c>
      <c r="F223" t="b">
        <f t="shared" si="3"/>
        <v>0</v>
      </c>
    </row>
    <row r="224" spans="1:6" ht="16" x14ac:dyDescent="0.2">
      <c r="A224">
        <v>44</v>
      </c>
      <c r="B224" t="s">
        <v>3</v>
      </c>
      <c r="C224" s="16" t="s">
        <v>1285</v>
      </c>
      <c r="D224" t="s">
        <v>8</v>
      </c>
      <c r="F224" t="b">
        <f t="shared" si="3"/>
        <v>0</v>
      </c>
    </row>
    <row r="225" spans="1:6" ht="30" customHeight="1" x14ac:dyDescent="0.2">
      <c r="A225">
        <v>45</v>
      </c>
      <c r="B225" s="22" t="s">
        <v>1286</v>
      </c>
      <c r="C225" s="22"/>
      <c r="D225" s="22"/>
      <c r="E225" s="22"/>
      <c r="F225" s="22"/>
    </row>
    <row r="226" spans="1:6" ht="16" x14ac:dyDescent="0.2">
      <c r="A226">
        <v>45</v>
      </c>
      <c r="B226" t="s">
        <v>0</v>
      </c>
      <c r="C226" s="16" t="s">
        <v>867</v>
      </c>
      <c r="D226" t="s">
        <v>7</v>
      </c>
      <c r="F226" t="b">
        <f t="shared" si="3"/>
        <v>0</v>
      </c>
    </row>
    <row r="227" spans="1:6" ht="16" x14ac:dyDescent="0.2">
      <c r="A227">
        <v>45</v>
      </c>
      <c r="B227" t="s">
        <v>1</v>
      </c>
      <c r="C227" s="16" t="s">
        <v>1221</v>
      </c>
      <c r="D227" t="s">
        <v>8</v>
      </c>
      <c r="F227" t="b">
        <f t="shared" si="3"/>
        <v>0</v>
      </c>
    </row>
    <row r="228" spans="1:6" ht="16" x14ac:dyDescent="0.2">
      <c r="A228">
        <v>45</v>
      </c>
      <c r="B228" t="s">
        <v>2</v>
      </c>
      <c r="C228" s="16" t="s">
        <v>1284</v>
      </c>
      <c r="D228" t="s">
        <v>7</v>
      </c>
      <c r="F228" t="b">
        <f t="shared" si="3"/>
        <v>0</v>
      </c>
    </row>
    <row r="229" spans="1:6" ht="16" x14ac:dyDescent="0.2">
      <c r="A229">
        <v>45</v>
      </c>
      <c r="B229" t="s">
        <v>3</v>
      </c>
      <c r="C229" s="16" t="s">
        <v>1285</v>
      </c>
      <c r="D229" t="s">
        <v>7</v>
      </c>
      <c r="F229" t="b">
        <f t="shared" si="3"/>
        <v>0</v>
      </c>
    </row>
    <row r="230" spans="1:6" ht="29.25" customHeight="1" x14ac:dyDescent="0.2">
      <c r="A230">
        <v>46</v>
      </c>
      <c r="B230" s="22" t="s">
        <v>1287</v>
      </c>
      <c r="C230" s="22"/>
      <c r="D230" s="22"/>
      <c r="E230" s="22"/>
      <c r="F230" s="22"/>
    </row>
    <row r="231" spans="1:6" ht="16" x14ac:dyDescent="0.2">
      <c r="A231">
        <v>46</v>
      </c>
      <c r="B231" t="s">
        <v>0</v>
      </c>
      <c r="C231" s="16" t="s">
        <v>1288</v>
      </c>
      <c r="D231" t="s">
        <v>8</v>
      </c>
      <c r="F231" t="b">
        <f t="shared" si="3"/>
        <v>0</v>
      </c>
    </row>
    <row r="232" spans="1:6" ht="16" x14ac:dyDescent="0.2">
      <c r="A232">
        <v>46</v>
      </c>
      <c r="B232" t="s">
        <v>1</v>
      </c>
      <c r="C232" s="16" t="s">
        <v>1289</v>
      </c>
      <c r="D232" t="s">
        <v>8</v>
      </c>
      <c r="F232" t="b">
        <f t="shared" si="3"/>
        <v>0</v>
      </c>
    </row>
    <row r="233" spans="1:6" ht="16" x14ac:dyDescent="0.2">
      <c r="A233">
        <v>46</v>
      </c>
      <c r="B233" t="s">
        <v>2</v>
      </c>
      <c r="C233" s="16" t="s">
        <v>1290</v>
      </c>
      <c r="D233" t="s">
        <v>7</v>
      </c>
      <c r="F233" t="b">
        <f t="shared" si="3"/>
        <v>0</v>
      </c>
    </row>
    <row r="234" spans="1:6" ht="16" x14ac:dyDescent="0.2">
      <c r="A234">
        <v>46</v>
      </c>
      <c r="B234" t="s">
        <v>3</v>
      </c>
      <c r="C234" s="16" t="s">
        <v>1291</v>
      </c>
      <c r="D234" t="s">
        <v>7</v>
      </c>
      <c r="F234" t="b">
        <f t="shared" si="3"/>
        <v>0</v>
      </c>
    </row>
    <row r="235" spans="1:6" ht="30.75" customHeight="1" x14ac:dyDescent="0.2">
      <c r="A235">
        <v>47</v>
      </c>
      <c r="B235" s="22" t="s">
        <v>1292</v>
      </c>
      <c r="C235" s="22"/>
      <c r="D235" s="22"/>
      <c r="E235" s="22"/>
      <c r="F235" s="22"/>
    </row>
    <row r="236" spans="1:6" ht="16" x14ac:dyDescent="0.2">
      <c r="A236">
        <v>47</v>
      </c>
      <c r="B236" t="s">
        <v>0</v>
      </c>
      <c r="C236" s="16" t="s">
        <v>1293</v>
      </c>
      <c r="D236" t="s">
        <v>7</v>
      </c>
      <c r="F236" t="b">
        <f t="shared" si="3"/>
        <v>0</v>
      </c>
    </row>
    <row r="237" spans="1:6" ht="16" x14ac:dyDescent="0.2">
      <c r="A237">
        <v>47</v>
      </c>
      <c r="B237" t="s">
        <v>1</v>
      </c>
      <c r="C237" s="16" t="s">
        <v>1294</v>
      </c>
      <c r="D237" t="s">
        <v>8</v>
      </c>
      <c r="F237" t="b">
        <f t="shared" si="3"/>
        <v>0</v>
      </c>
    </row>
    <row r="238" spans="1:6" ht="16" x14ac:dyDescent="0.2">
      <c r="A238">
        <v>47</v>
      </c>
      <c r="B238" t="s">
        <v>2</v>
      </c>
      <c r="C238" s="16" t="s">
        <v>1295</v>
      </c>
      <c r="D238" t="s">
        <v>8</v>
      </c>
      <c r="F238" t="b">
        <f t="shared" si="3"/>
        <v>0</v>
      </c>
    </row>
    <row r="239" spans="1:6" ht="16" x14ac:dyDescent="0.2">
      <c r="A239">
        <v>47</v>
      </c>
      <c r="B239" t="s">
        <v>3</v>
      </c>
      <c r="C239" s="16" t="s">
        <v>1296</v>
      </c>
      <c r="D239" t="s">
        <v>7</v>
      </c>
      <c r="F239" t="b">
        <f t="shared" si="3"/>
        <v>0</v>
      </c>
    </row>
    <row r="240" spans="1:6" ht="45" customHeight="1" x14ac:dyDescent="0.2">
      <c r="A240">
        <v>48</v>
      </c>
      <c r="B240" s="22" t="s">
        <v>1297</v>
      </c>
      <c r="C240" s="22"/>
      <c r="D240" s="22"/>
      <c r="E240" s="22"/>
      <c r="F240" s="22"/>
    </row>
    <row r="241" spans="1:6" ht="16" x14ac:dyDescent="0.2">
      <c r="A241">
        <v>48</v>
      </c>
      <c r="B241" t="s">
        <v>0</v>
      </c>
      <c r="C241" s="16" t="s">
        <v>1298</v>
      </c>
      <c r="D241" t="s">
        <v>7</v>
      </c>
      <c r="F241" t="b">
        <f t="shared" si="3"/>
        <v>0</v>
      </c>
    </row>
    <row r="242" spans="1:6" ht="16" x14ac:dyDescent="0.2">
      <c r="A242">
        <v>48</v>
      </c>
      <c r="B242" t="s">
        <v>1</v>
      </c>
      <c r="C242" s="16" t="s">
        <v>14</v>
      </c>
      <c r="D242" t="s">
        <v>8</v>
      </c>
      <c r="F242" t="b">
        <f t="shared" si="3"/>
        <v>0</v>
      </c>
    </row>
    <row r="243" spans="1:6" ht="16" x14ac:dyDescent="0.2">
      <c r="A243">
        <v>48</v>
      </c>
      <c r="B243" t="s">
        <v>2</v>
      </c>
      <c r="C243" s="16" t="s">
        <v>1253</v>
      </c>
      <c r="D243" t="s">
        <v>7</v>
      </c>
      <c r="F243" t="b">
        <f t="shared" si="3"/>
        <v>0</v>
      </c>
    </row>
    <row r="244" spans="1:6" ht="16" x14ac:dyDescent="0.2">
      <c r="A244">
        <v>48</v>
      </c>
      <c r="B244" t="s">
        <v>3</v>
      </c>
      <c r="C244" s="16" t="s">
        <v>1299</v>
      </c>
      <c r="D244" t="s">
        <v>7</v>
      </c>
      <c r="F244" t="b">
        <f t="shared" si="3"/>
        <v>0</v>
      </c>
    </row>
    <row r="245" spans="1:6" x14ac:dyDescent="0.2">
      <c r="A245">
        <v>49</v>
      </c>
      <c r="B245" s="22" t="s">
        <v>1300</v>
      </c>
      <c r="C245" s="22"/>
      <c r="D245" s="22"/>
      <c r="E245" s="22"/>
      <c r="F245" s="22"/>
    </row>
    <row r="246" spans="1:6" ht="16" x14ac:dyDescent="0.2">
      <c r="A246">
        <v>49</v>
      </c>
      <c r="B246" t="s">
        <v>0</v>
      </c>
      <c r="C246" s="16" t="s">
        <v>1301</v>
      </c>
      <c r="D246" t="s">
        <v>7</v>
      </c>
      <c r="F246" t="b">
        <f t="shared" si="3"/>
        <v>0</v>
      </c>
    </row>
    <row r="247" spans="1:6" ht="16" x14ac:dyDescent="0.2">
      <c r="A247">
        <v>49</v>
      </c>
      <c r="B247" t="s">
        <v>1</v>
      </c>
      <c r="C247" s="16" t="s">
        <v>1302</v>
      </c>
      <c r="D247" t="s">
        <v>8</v>
      </c>
      <c r="F247" t="b">
        <f t="shared" si="3"/>
        <v>0</v>
      </c>
    </row>
    <row r="248" spans="1:6" ht="16" x14ac:dyDescent="0.2">
      <c r="A248">
        <v>49</v>
      </c>
      <c r="B248" t="s">
        <v>2</v>
      </c>
      <c r="C248" s="16" t="s">
        <v>1303</v>
      </c>
      <c r="D248" t="s">
        <v>7</v>
      </c>
      <c r="F248" t="b">
        <f t="shared" si="3"/>
        <v>0</v>
      </c>
    </row>
    <row r="249" spans="1:6" ht="16" x14ac:dyDescent="0.2">
      <c r="A249">
        <v>49</v>
      </c>
      <c r="B249" t="s">
        <v>3</v>
      </c>
      <c r="C249" s="16" t="s">
        <v>1304</v>
      </c>
      <c r="D249" t="s">
        <v>7</v>
      </c>
      <c r="F249" t="b">
        <f t="shared" si="3"/>
        <v>0</v>
      </c>
    </row>
    <row r="250" spans="1:6" ht="62.25" customHeight="1" x14ac:dyDescent="0.2">
      <c r="A250">
        <v>50</v>
      </c>
      <c r="B250" s="22" t="s">
        <v>1305</v>
      </c>
      <c r="C250" s="22"/>
      <c r="D250" s="22"/>
      <c r="E250" s="22"/>
      <c r="F250" s="22"/>
    </row>
    <row r="251" spans="1:6" ht="16" x14ac:dyDescent="0.2">
      <c r="A251">
        <v>50</v>
      </c>
      <c r="B251" t="s">
        <v>0</v>
      </c>
      <c r="C251" s="16" t="s">
        <v>1306</v>
      </c>
      <c r="D251" t="s">
        <v>7</v>
      </c>
      <c r="F251" t="b">
        <f t="shared" si="3"/>
        <v>0</v>
      </c>
    </row>
    <row r="252" spans="1:6" ht="16" x14ac:dyDescent="0.2">
      <c r="A252">
        <v>50</v>
      </c>
      <c r="B252" t="s">
        <v>1</v>
      </c>
      <c r="C252" s="16" t="s">
        <v>1307</v>
      </c>
      <c r="D252" t="s">
        <v>7</v>
      </c>
      <c r="F252" t="b">
        <f t="shared" si="3"/>
        <v>0</v>
      </c>
    </row>
    <row r="253" spans="1:6" ht="16" x14ac:dyDescent="0.2">
      <c r="A253">
        <v>50</v>
      </c>
      <c r="B253" t="s">
        <v>2</v>
      </c>
      <c r="C253" s="16" t="s">
        <v>1308</v>
      </c>
      <c r="D253" t="s">
        <v>8</v>
      </c>
      <c r="F253" t="b">
        <f t="shared" si="3"/>
        <v>0</v>
      </c>
    </row>
    <row r="254" spans="1:6" ht="16" x14ac:dyDescent="0.2">
      <c r="A254">
        <v>50</v>
      </c>
      <c r="B254" t="s">
        <v>3</v>
      </c>
      <c r="C254" s="16" t="s">
        <v>1309</v>
      </c>
      <c r="D254" t="s">
        <v>7</v>
      </c>
      <c r="F254" t="b">
        <f t="shared" si="3"/>
        <v>0</v>
      </c>
    </row>
    <row r="255" spans="1:6" ht="29.25" customHeight="1" x14ac:dyDescent="0.2">
      <c r="A255">
        <v>51</v>
      </c>
      <c r="B255" s="22" t="s">
        <v>1310</v>
      </c>
      <c r="C255" s="22"/>
      <c r="D255" s="22"/>
      <c r="E255" s="22"/>
      <c r="F255" s="22"/>
    </row>
    <row r="256" spans="1:6" ht="16" x14ac:dyDescent="0.2">
      <c r="A256">
        <v>51</v>
      </c>
      <c r="B256" t="s">
        <v>0</v>
      </c>
      <c r="C256" s="16" t="s">
        <v>1311</v>
      </c>
      <c r="D256" t="s">
        <v>7</v>
      </c>
      <c r="F256" t="b">
        <f t="shared" si="3"/>
        <v>0</v>
      </c>
    </row>
    <row r="257" spans="1:6" ht="16" x14ac:dyDescent="0.2">
      <c r="A257">
        <v>51</v>
      </c>
      <c r="B257" t="s">
        <v>1</v>
      </c>
      <c r="C257" s="16" t="s">
        <v>1312</v>
      </c>
      <c r="D257" t="s">
        <v>7</v>
      </c>
      <c r="F257" t="b">
        <f t="shared" si="3"/>
        <v>0</v>
      </c>
    </row>
    <row r="258" spans="1:6" ht="16" x14ac:dyDescent="0.2">
      <c r="A258">
        <v>51</v>
      </c>
      <c r="B258" t="s">
        <v>2</v>
      </c>
      <c r="C258" s="16" t="s">
        <v>1313</v>
      </c>
      <c r="D258" t="s">
        <v>8</v>
      </c>
      <c r="F258" t="b">
        <f t="shared" si="3"/>
        <v>0</v>
      </c>
    </row>
    <row r="259" spans="1:6" ht="16" x14ac:dyDescent="0.2">
      <c r="A259">
        <v>51</v>
      </c>
      <c r="B259" t="s">
        <v>3</v>
      </c>
      <c r="C259" s="16" t="s">
        <v>1314</v>
      </c>
      <c r="D259" t="s">
        <v>7</v>
      </c>
      <c r="F259" t="b">
        <f t="shared" si="3"/>
        <v>0</v>
      </c>
    </row>
    <row r="260" spans="1:6" ht="27.75" customHeight="1" x14ac:dyDescent="0.2">
      <c r="A260">
        <v>52</v>
      </c>
      <c r="B260" s="22" t="s">
        <v>1315</v>
      </c>
      <c r="C260" s="22"/>
      <c r="D260" s="22"/>
      <c r="E260" s="22"/>
      <c r="F260" s="22"/>
    </row>
    <row r="261" spans="1:6" ht="16" x14ac:dyDescent="0.2">
      <c r="A261">
        <v>52</v>
      </c>
      <c r="B261" t="s">
        <v>0</v>
      </c>
      <c r="C261" s="16" t="s">
        <v>15</v>
      </c>
      <c r="D261" t="s">
        <v>8</v>
      </c>
      <c r="F261" t="b">
        <f t="shared" ref="F261:F324" si="4">D261=E261</f>
        <v>0</v>
      </c>
    </row>
    <row r="262" spans="1:6" ht="16" x14ac:dyDescent="0.2">
      <c r="A262">
        <v>52</v>
      </c>
      <c r="B262" t="s">
        <v>1</v>
      </c>
      <c r="C262" s="16" t="s">
        <v>16</v>
      </c>
      <c r="D262" t="s">
        <v>7</v>
      </c>
      <c r="F262" t="b">
        <f t="shared" si="4"/>
        <v>0</v>
      </c>
    </row>
    <row r="263" spans="1:6" ht="16" x14ac:dyDescent="0.2">
      <c r="A263">
        <v>52</v>
      </c>
      <c r="B263" t="s">
        <v>2</v>
      </c>
      <c r="C263" s="16" t="s">
        <v>1316</v>
      </c>
      <c r="D263" t="s">
        <v>7</v>
      </c>
      <c r="F263" t="b">
        <f t="shared" si="4"/>
        <v>0</v>
      </c>
    </row>
    <row r="264" spans="1:6" ht="16" x14ac:dyDescent="0.2">
      <c r="A264">
        <v>52</v>
      </c>
      <c r="B264" t="s">
        <v>3</v>
      </c>
      <c r="C264" s="16" t="s">
        <v>1317</v>
      </c>
      <c r="D264" t="s">
        <v>7</v>
      </c>
      <c r="F264" t="b">
        <f t="shared" si="4"/>
        <v>0</v>
      </c>
    </row>
    <row r="265" spans="1:6" x14ac:dyDescent="0.2">
      <c r="A265">
        <v>53</v>
      </c>
      <c r="B265" s="22" t="s">
        <v>1318</v>
      </c>
      <c r="C265" s="22"/>
      <c r="D265" s="22"/>
      <c r="E265" s="22"/>
      <c r="F265" s="22"/>
    </row>
    <row r="266" spans="1:6" ht="16" x14ac:dyDescent="0.2">
      <c r="A266">
        <v>53</v>
      </c>
      <c r="B266" t="s">
        <v>0</v>
      </c>
      <c r="C266" s="16" t="s">
        <v>1319</v>
      </c>
      <c r="D266" t="s">
        <v>8</v>
      </c>
      <c r="F266" t="b">
        <f t="shared" si="4"/>
        <v>0</v>
      </c>
    </row>
    <row r="267" spans="1:6" ht="16" x14ac:dyDescent="0.2">
      <c r="A267">
        <v>53</v>
      </c>
      <c r="B267" t="s">
        <v>1</v>
      </c>
      <c r="C267" s="16" t="s">
        <v>1320</v>
      </c>
      <c r="D267" t="s">
        <v>8</v>
      </c>
      <c r="F267" t="b">
        <f t="shared" si="4"/>
        <v>0</v>
      </c>
    </row>
    <row r="268" spans="1:6" ht="16" x14ac:dyDescent="0.2">
      <c r="A268">
        <v>53</v>
      </c>
      <c r="B268" t="s">
        <v>2</v>
      </c>
      <c r="C268" s="16" t="s">
        <v>1321</v>
      </c>
      <c r="D268" t="s">
        <v>7</v>
      </c>
      <c r="F268" t="b">
        <f t="shared" si="4"/>
        <v>0</v>
      </c>
    </row>
    <row r="269" spans="1:6" ht="16" x14ac:dyDescent="0.2">
      <c r="A269">
        <v>53</v>
      </c>
      <c r="B269" t="s">
        <v>3</v>
      </c>
      <c r="C269" s="16" t="s">
        <v>1322</v>
      </c>
      <c r="D269" t="s">
        <v>7</v>
      </c>
      <c r="F269" t="b">
        <f t="shared" si="4"/>
        <v>0</v>
      </c>
    </row>
    <row r="270" spans="1:6" x14ac:dyDescent="0.2">
      <c r="A270">
        <v>54</v>
      </c>
      <c r="B270" s="22" t="s">
        <v>1323</v>
      </c>
      <c r="C270" s="22"/>
      <c r="D270" s="22"/>
      <c r="E270" s="22"/>
      <c r="F270" s="22"/>
    </row>
    <row r="271" spans="1:6" ht="16" x14ac:dyDescent="0.2">
      <c r="A271">
        <v>54</v>
      </c>
      <c r="B271" t="s">
        <v>0</v>
      </c>
      <c r="C271" s="16" t="s">
        <v>1324</v>
      </c>
      <c r="D271" t="s">
        <v>8</v>
      </c>
      <c r="F271" t="b">
        <f t="shared" si="4"/>
        <v>0</v>
      </c>
    </row>
    <row r="272" spans="1:6" ht="16" x14ac:dyDescent="0.2">
      <c r="A272">
        <v>54</v>
      </c>
      <c r="B272" t="s">
        <v>1</v>
      </c>
      <c r="C272" s="16" t="s">
        <v>1325</v>
      </c>
      <c r="D272" t="s">
        <v>7</v>
      </c>
      <c r="F272" t="b">
        <f t="shared" si="4"/>
        <v>0</v>
      </c>
    </row>
    <row r="273" spans="1:6" ht="16" x14ac:dyDescent="0.2">
      <c r="A273">
        <v>54</v>
      </c>
      <c r="B273" t="s">
        <v>2</v>
      </c>
      <c r="C273" s="16" t="s">
        <v>1326</v>
      </c>
      <c r="D273" t="s">
        <v>7</v>
      </c>
      <c r="F273" t="b">
        <f t="shared" si="4"/>
        <v>0</v>
      </c>
    </row>
    <row r="274" spans="1:6" ht="33" customHeight="1" x14ac:dyDescent="0.2">
      <c r="A274">
        <v>54</v>
      </c>
      <c r="B274" t="s">
        <v>3</v>
      </c>
      <c r="C274" s="16" t="s">
        <v>1327</v>
      </c>
      <c r="D274" t="s">
        <v>7</v>
      </c>
      <c r="F274" t="b">
        <f t="shared" si="4"/>
        <v>0</v>
      </c>
    </row>
    <row r="275" spans="1:6" x14ac:dyDescent="0.2">
      <c r="A275">
        <v>55</v>
      </c>
      <c r="B275" s="22" t="s">
        <v>1328</v>
      </c>
      <c r="C275" s="22"/>
      <c r="D275" s="22"/>
      <c r="E275" s="22"/>
      <c r="F275" s="22"/>
    </row>
    <row r="276" spans="1:6" ht="16" x14ac:dyDescent="0.2">
      <c r="A276">
        <v>55</v>
      </c>
      <c r="B276" t="s">
        <v>0</v>
      </c>
      <c r="C276" s="16" t="s">
        <v>1329</v>
      </c>
      <c r="D276" t="s">
        <v>8</v>
      </c>
      <c r="F276" t="b">
        <f t="shared" si="4"/>
        <v>0</v>
      </c>
    </row>
    <row r="277" spans="1:6" ht="16" x14ac:dyDescent="0.2">
      <c r="A277">
        <v>55</v>
      </c>
      <c r="B277" t="s">
        <v>1</v>
      </c>
      <c r="C277" s="16" t="s">
        <v>1324</v>
      </c>
      <c r="D277" t="s">
        <v>7</v>
      </c>
      <c r="F277" t="b">
        <f t="shared" si="4"/>
        <v>0</v>
      </c>
    </row>
    <row r="278" spans="1:6" ht="16" x14ac:dyDescent="0.2">
      <c r="A278">
        <v>55</v>
      </c>
      <c r="B278" t="s">
        <v>2</v>
      </c>
      <c r="C278" s="16" t="s">
        <v>1326</v>
      </c>
      <c r="D278" t="s">
        <v>7</v>
      </c>
      <c r="F278" t="b">
        <f t="shared" si="4"/>
        <v>0</v>
      </c>
    </row>
    <row r="279" spans="1:6" ht="16" x14ac:dyDescent="0.2">
      <c r="A279">
        <v>55</v>
      </c>
      <c r="B279" t="s">
        <v>3</v>
      </c>
      <c r="C279" s="16" t="s">
        <v>1327</v>
      </c>
      <c r="D279" t="s">
        <v>7</v>
      </c>
      <c r="F279" t="b">
        <f t="shared" si="4"/>
        <v>0</v>
      </c>
    </row>
    <row r="280" spans="1:6" ht="28.5" customHeight="1" x14ac:dyDescent="0.2">
      <c r="A280">
        <v>56</v>
      </c>
      <c r="B280" s="22" t="s">
        <v>1330</v>
      </c>
      <c r="C280" s="22"/>
      <c r="D280" s="22"/>
      <c r="E280" s="22"/>
      <c r="F280" s="22" t="s">
        <v>1097</v>
      </c>
    </row>
    <row r="281" spans="1:6" ht="16" x14ac:dyDescent="0.2">
      <c r="A281">
        <v>56</v>
      </c>
      <c r="B281" t="s">
        <v>0</v>
      </c>
      <c r="C281" s="16" t="s">
        <v>1331</v>
      </c>
      <c r="D281" t="s">
        <v>8</v>
      </c>
      <c r="F281" t="b">
        <f t="shared" si="4"/>
        <v>0</v>
      </c>
    </row>
    <row r="282" spans="1:6" ht="16" x14ac:dyDescent="0.2">
      <c r="A282">
        <v>56</v>
      </c>
      <c r="B282" t="s">
        <v>1</v>
      </c>
      <c r="C282" s="16" t="s">
        <v>5</v>
      </c>
      <c r="D282" t="s">
        <v>7</v>
      </c>
      <c r="F282" t="b">
        <f t="shared" si="4"/>
        <v>0</v>
      </c>
    </row>
    <row r="283" spans="1:6" ht="16" x14ac:dyDescent="0.2">
      <c r="A283">
        <v>56</v>
      </c>
      <c r="B283" t="s">
        <v>2</v>
      </c>
      <c r="C283" s="16" t="s">
        <v>1189</v>
      </c>
      <c r="D283" t="s">
        <v>7</v>
      </c>
      <c r="F283" t="b">
        <f t="shared" si="4"/>
        <v>0</v>
      </c>
    </row>
    <row r="284" spans="1:6" ht="16" x14ac:dyDescent="0.2">
      <c r="A284">
        <v>56</v>
      </c>
      <c r="B284" t="s">
        <v>3</v>
      </c>
      <c r="C284" s="16" t="s">
        <v>1332</v>
      </c>
      <c r="D284" t="s">
        <v>7</v>
      </c>
      <c r="F284" t="b">
        <f t="shared" si="4"/>
        <v>0</v>
      </c>
    </row>
    <row r="285" spans="1:6" ht="33" customHeight="1" x14ac:dyDescent="0.2">
      <c r="A285">
        <v>57</v>
      </c>
      <c r="B285" s="22" t="s">
        <v>1333</v>
      </c>
      <c r="C285" s="22"/>
      <c r="D285" s="22"/>
      <c r="E285" s="22"/>
      <c r="F285" s="22"/>
    </row>
    <row r="286" spans="1:6" ht="16" x14ac:dyDescent="0.2">
      <c r="A286">
        <v>57</v>
      </c>
      <c r="B286" t="s">
        <v>0</v>
      </c>
      <c r="C286" s="16" t="s">
        <v>1334</v>
      </c>
      <c r="D286" t="s">
        <v>7</v>
      </c>
      <c r="F286" t="b">
        <f t="shared" si="4"/>
        <v>0</v>
      </c>
    </row>
    <row r="287" spans="1:6" ht="16" x14ac:dyDescent="0.2">
      <c r="A287">
        <v>57</v>
      </c>
      <c r="B287" t="s">
        <v>1</v>
      </c>
      <c r="C287" s="16" t="s">
        <v>1335</v>
      </c>
      <c r="D287" t="s">
        <v>7</v>
      </c>
      <c r="F287" t="b">
        <f t="shared" si="4"/>
        <v>0</v>
      </c>
    </row>
    <row r="288" spans="1:6" ht="16" x14ac:dyDescent="0.2">
      <c r="A288">
        <v>57</v>
      </c>
      <c r="B288" t="s">
        <v>2</v>
      </c>
      <c r="C288" s="16" t="s">
        <v>1336</v>
      </c>
      <c r="D288" t="s">
        <v>8</v>
      </c>
      <c r="F288" t="b">
        <f t="shared" si="4"/>
        <v>0</v>
      </c>
    </row>
    <row r="289" spans="1:6" ht="16" x14ac:dyDescent="0.2">
      <c r="A289">
        <v>57</v>
      </c>
      <c r="B289" t="s">
        <v>3</v>
      </c>
      <c r="C289" s="16" t="s">
        <v>1337</v>
      </c>
      <c r="D289" t="s">
        <v>7</v>
      </c>
      <c r="F289" t="b">
        <f t="shared" si="4"/>
        <v>0</v>
      </c>
    </row>
    <row r="290" spans="1:6" x14ac:dyDescent="0.2">
      <c r="A290">
        <v>58</v>
      </c>
      <c r="B290" s="22" t="s">
        <v>1338</v>
      </c>
      <c r="C290" s="22"/>
      <c r="D290" s="22"/>
      <c r="E290" s="22"/>
      <c r="F290" s="22" t="s">
        <v>1097</v>
      </c>
    </row>
    <row r="291" spans="1:6" ht="16" x14ac:dyDescent="0.2">
      <c r="A291">
        <v>58</v>
      </c>
      <c r="B291" t="s">
        <v>0</v>
      </c>
      <c r="C291" s="16" t="s">
        <v>1339</v>
      </c>
      <c r="D291" t="s">
        <v>8</v>
      </c>
      <c r="F291" t="b">
        <f t="shared" si="4"/>
        <v>0</v>
      </c>
    </row>
    <row r="292" spans="1:6" ht="16" x14ac:dyDescent="0.2">
      <c r="A292">
        <v>58</v>
      </c>
      <c r="B292" t="s">
        <v>1</v>
      </c>
      <c r="C292" s="16" t="s">
        <v>1271</v>
      </c>
      <c r="D292" t="s">
        <v>7</v>
      </c>
      <c r="F292" t="b">
        <f t="shared" si="4"/>
        <v>0</v>
      </c>
    </row>
    <row r="293" spans="1:6" ht="16" x14ac:dyDescent="0.2">
      <c r="A293">
        <v>58</v>
      </c>
      <c r="B293" t="s">
        <v>2</v>
      </c>
      <c r="C293" s="16" t="s">
        <v>1340</v>
      </c>
      <c r="D293" t="s">
        <v>7</v>
      </c>
      <c r="F293" t="b">
        <f t="shared" si="4"/>
        <v>0</v>
      </c>
    </row>
    <row r="294" spans="1:6" ht="16" x14ac:dyDescent="0.2">
      <c r="A294">
        <v>58</v>
      </c>
      <c r="B294" t="s">
        <v>3</v>
      </c>
      <c r="C294" s="16" t="s">
        <v>1251</v>
      </c>
      <c r="D294" t="s">
        <v>7</v>
      </c>
      <c r="F294" t="b">
        <f t="shared" si="4"/>
        <v>0</v>
      </c>
    </row>
    <row r="295" spans="1:6" ht="30" customHeight="1" x14ac:dyDescent="0.2">
      <c r="A295">
        <v>59</v>
      </c>
      <c r="B295" s="22" t="s">
        <v>1341</v>
      </c>
      <c r="C295" s="22"/>
      <c r="D295" s="22"/>
      <c r="E295" s="22"/>
      <c r="F295" s="22"/>
    </row>
    <row r="296" spans="1:6" ht="16" x14ac:dyDescent="0.2">
      <c r="A296">
        <v>59</v>
      </c>
      <c r="B296" t="s">
        <v>0</v>
      </c>
      <c r="C296" s="16" t="s">
        <v>17</v>
      </c>
      <c r="D296" t="s">
        <v>7</v>
      </c>
      <c r="F296" t="b">
        <f t="shared" si="4"/>
        <v>0</v>
      </c>
    </row>
    <row r="297" spans="1:6" ht="16" x14ac:dyDescent="0.2">
      <c r="A297">
        <v>59</v>
      </c>
      <c r="B297" t="s">
        <v>1</v>
      </c>
      <c r="C297" s="16" t="s">
        <v>18</v>
      </c>
      <c r="D297" t="s">
        <v>8</v>
      </c>
      <c r="F297" t="b">
        <f t="shared" si="4"/>
        <v>0</v>
      </c>
    </row>
    <row r="298" spans="1:6" ht="16" x14ac:dyDescent="0.2">
      <c r="A298">
        <v>59</v>
      </c>
      <c r="B298" t="s">
        <v>2</v>
      </c>
      <c r="C298" s="16" t="s">
        <v>19</v>
      </c>
      <c r="D298" t="s">
        <v>7</v>
      </c>
      <c r="F298" t="b">
        <f t="shared" si="4"/>
        <v>0</v>
      </c>
    </row>
    <row r="299" spans="1:6" ht="16" x14ac:dyDescent="0.2">
      <c r="A299">
        <v>59</v>
      </c>
      <c r="B299" t="s">
        <v>3</v>
      </c>
      <c r="C299" s="16" t="s">
        <v>1342</v>
      </c>
      <c r="D299" t="s">
        <v>7</v>
      </c>
      <c r="F299" t="b">
        <f t="shared" si="4"/>
        <v>0</v>
      </c>
    </row>
    <row r="300" spans="1:6" x14ac:dyDescent="0.2">
      <c r="A300">
        <v>60</v>
      </c>
      <c r="B300" s="22" t="s">
        <v>1343</v>
      </c>
      <c r="C300" s="22"/>
      <c r="D300" s="22"/>
      <c r="E300" s="22"/>
      <c r="F300" s="22"/>
    </row>
    <row r="301" spans="1:6" ht="16" x14ac:dyDescent="0.2">
      <c r="A301">
        <v>60</v>
      </c>
      <c r="B301" t="s">
        <v>0</v>
      </c>
      <c r="C301" s="16" t="s">
        <v>1344</v>
      </c>
      <c r="D301" t="s">
        <v>8</v>
      </c>
      <c r="F301" t="b">
        <f t="shared" si="4"/>
        <v>0</v>
      </c>
    </row>
    <row r="302" spans="1:6" ht="16" x14ac:dyDescent="0.2">
      <c r="A302">
        <v>60</v>
      </c>
      <c r="B302" t="s">
        <v>1</v>
      </c>
      <c r="C302" s="16" t="s">
        <v>20</v>
      </c>
      <c r="D302" t="s">
        <v>8</v>
      </c>
      <c r="F302" t="b">
        <f t="shared" si="4"/>
        <v>0</v>
      </c>
    </row>
    <row r="303" spans="1:6" ht="16" x14ac:dyDescent="0.2">
      <c r="A303">
        <v>60</v>
      </c>
      <c r="B303" t="s">
        <v>2</v>
      </c>
      <c r="C303" s="16" t="s">
        <v>21</v>
      </c>
      <c r="D303" t="s">
        <v>7</v>
      </c>
      <c r="F303" t="b">
        <f t="shared" si="4"/>
        <v>0</v>
      </c>
    </row>
    <row r="304" spans="1:6" ht="16" x14ac:dyDescent="0.2">
      <c r="A304">
        <v>60</v>
      </c>
      <c r="B304" t="s">
        <v>3</v>
      </c>
      <c r="C304" s="16" t="s">
        <v>496</v>
      </c>
      <c r="D304" t="s">
        <v>7</v>
      </c>
      <c r="F304" t="b">
        <f t="shared" si="4"/>
        <v>0</v>
      </c>
    </row>
    <row r="305" spans="1:6" x14ac:dyDescent="0.2">
      <c r="A305">
        <v>61</v>
      </c>
      <c r="B305" s="22" t="s">
        <v>1345</v>
      </c>
      <c r="C305" s="22"/>
      <c r="D305" s="22"/>
      <c r="E305" s="22"/>
      <c r="F305" s="22"/>
    </row>
    <row r="306" spans="1:6" ht="16" x14ac:dyDescent="0.2">
      <c r="A306">
        <v>61</v>
      </c>
      <c r="B306" t="s">
        <v>0</v>
      </c>
      <c r="C306" s="16" t="s">
        <v>1346</v>
      </c>
      <c r="D306" t="s">
        <v>8</v>
      </c>
      <c r="F306" t="b">
        <f t="shared" si="4"/>
        <v>0</v>
      </c>
    </row>
    <row r="307" spans="1:6" ht="16" x14ac:dyDescent="0.2">
      <c r="A307">
        <v>61</v>
      </c>
      <c r="B307" t="s">
        <v>1</v>
      </c>
      <c r="C307" s="16" t="s">
        <v>761</v>
      </c>
      <c r="D307" t="s">
        <v>8</v>
      </c>
      <c r="F307" t="b">
        <f t="shared" si="4"/>
        <v>0</v>
      </c>
    </row>
    <row r="308" spans="1:6" ht="16" x14ac:dyDescent="0.2">
      <c r="A308">
        <v>61</v>
      </c>
      <c r="B308" t="s">
        <v>2</v>
      </c>
      <c r="C308" s="16" t="s">
        <v>1253</v>
      </c>
      <c r="D308" t="s">
        <v>7</v>
      </c>
      <c r="F308" t="b">
        <f t="shared" si="4"/>
        <v>0</v>
      </c>
    </row>
    <row r="309" spans="1:6" ht="16" x14ac:dyDescent="0.2">
      <c r="A309">
        <v>61</v>
      </c>
      <c r="B309" t="s">
        <v>3</v>
      </c>
      <c r="C309" s="16" t="s">
        <v>5</v>
      </c>
      <c r="D309" t="s">
        <v>7</v>
      </c>
      <c r="F309" t="b">
        <f t="shared" si="4"/>
        <v>0</v>
      </c>
    </row>
    <row r="310" spans="1:6" x14ac:dyDescent="0.2">
      <c r="A310">
        <v>62</v>
      </c>
      <c r="B310" s="22" t="s">
        <v>1347</v>
      </c>
      <c r="C310" s="22"/>
      <c r="D310" s="22"/>
      <c r="E310" s="22"/>
      <c r="F310" s="22"/>
    </row>
    <row r="311" spans="1:6" ht="16" x14ac:dyDescent="0.2">
      <c r="A311">
        <v>62</v>
      </c>
      <c r="B311" t="s">
        <v>0</v>
      </c>
      <c r="C311" s="16" t="s">
        <v>1253</v>
      </c>
      <c r="D311" t="s">
        <v>7</v>
      </c>
      <c r="F311" t="b">
        <f t="shared" si="4"/>
        <v>0</v>
      </c>
    </row>
    <row r="312" spans="1:6" ht="16" x14ac:dyDescent="0.2">
      <c r="A312">
        <v>62</v>
      </c>
      <c r="B312" t="s">
        <v>1</v>
      </c>
      <c r="C312" s="16" t="s">
        <v>621</v>
      </c>
      <c r="D312" t="s">
        <v>8</v>
      </c>
      <c r="F312" t="b">
        <f t="shared" si="4"/>
        <v>0</v>
      </c>
    </row>
    <row r="313" spans="1:6" ht="16" x14ac:dyDescent="0.2">
      <c r="A313">
        <v>62</v>
      </c>
      <c r="B313" t="s">
        <v>2</v>
      </c>
      <c r="C313" s="16" t="s">
        <v>622</v>
      </c>
      <c r="D313" t="s">
        <v>7</v>
      </c>
      <c r="F313" t="b">
        <f t="shared" si="4"/>
        <v>0</v>
      </c>
    </row>
    <row r="314" spans="1:6" ht="16" x14ac:dyDescent="0.2">
      <c r="A314">
        <v>62</v>
      </c>
      <c r="B314" t="s">
        <v>3</v>
      </c>
      <c r="C314" s="16" t="s">
        <v>1348</v>
      </c>
      <c r="D314" t="s">
        <v>7</v>
      </c>
      <c r="F314" t="b">
        <f t="shared" si="4"/>
        <v>0</v>
      </c>
    </row>
    <row r="315" spans="1:6" ht="29.25" customHeight="1" x14ac:dyDescent="0.2">
      <c r="A315">
        <v>63</v>
      </c>
      <c r="B315" s="22" t="s">
        <v>1349</v>
      </c>
      <c r="C315" s="22"/>
      <c r="D315" s="22"/>
      <c r="E315" s="22"/>
      <c r="F315" s="22"/>
    </row>
    <row r="316" spans="1:6" ht="16" x14ac:dyDescent="0.2">
      <c r="A316">
        <v>63</v>
      </c>
      <c r="B316" t="s">
        <v>0</v>
      </c>
      <c r="C316" s="16" t="s">
        <v>1350</v>
      </c>
      <c r="D316" t="s">
        <v>7</v>
      </c>
      <c r="F316" t="b">
        <f t="shared" si="4"/>
        <v>0</v>
      </c>
    </row>
    <row r="317" spans="1:6" ht="16" x14ac:dyDescent="0.2">
      <c r="A317">
        <v>63</v>
      </c>
      <c r="B317" t="s">
        <v>1</v>
      </c>
      <c r="C317" s="16" t="s">
        <v>1351</v>
      </c>
      <c r="D317" t="s">
        <v>7</v>
      </c>
      <c r="F317" t="b">
        <f t="shared" si="4"/>
        <v>0</v>
      </c>
    </row>
    <row r="318" spans="1:6" ht="16" x14ac:dyDescent="0.2">
      <c r="A318">
        <v>63</v>
      </c>
      <c r="B318" t="s">
        <v>2</v>
      </c>
      <c r="C318" s="16" t="s">
        <v>1352</v>
      </c>
      <c r="D318" t="s">
        <v>7</v>
      </c>
      <c r="F318" t="b">
        <f t="shared" si="4"/>
        <v>0</v>
      </c>
    </row>
    <row r="319" spans="1:6" ht="16" x14ac:dyDescent="0.2">
      <c r="A319">
        <v>63</v>
      </c>
      <c r="B319" t="s">
        <v>3</v>
      </c>
      <c r="C319" s="16" t="s">
        <v>1353</v>
      </c>
      <c r="D319" t="s">
        <v>8</v>
      </c>
      <c r="F319" t="b">
        <f t="shared" si="4"/>
        <v>0</v>
      </c>
    </row>
    <row r="320" spans="1:6" x14ac:dyDescent="0.2">
      <c r="A320">
        <v>64</v>
      </c>
      <c r="B320" s="22" t="s">
        <v>1354</v>
      </c>
      <c r="C320" s="22"/>
      <c r="D320" s="22"/>
      <c r="E320" s="22"/>
      <c r="F320" s="22"/>
    </row>
    <row r="321" spans="1:6" ht="16" x14ac:dyDescent="0.2">
      <c r="A321">
        <v>64</v>
      </c>
      <c r="B321" t="s">
        <v>0</v>
      </c>
      <c r="C321" s="16" t="s">
        <v>1355</v>
      </c>
      <c r="D321" t="s">
        <v>7</v>
      </c>
      <c r="F321" t="b">
        <f t="shared" si="4"/>
        <v>0</v>
      </c>
    </row>
    <row r="322" spans="1:6" ht="16" x14ac:dyDescent="0.2">
      <c r="A322">
        <v>64</v>
      </c>
      <c r="B322" t="s">
        <v>1</v>
      </c>
      <c r="C322" s="16" t="s">
        <v>1356</v>
      </c>
      <c r="D322" t="s">
        <v>8</v>
      </c>
      <c r="F322" t="b">
        <f t="shared" si="4"/>
        <v>0</v>
      </c>
    </row>
    <row r="323" spans="1:6" ht="16" x14ac:dyDescent="0.2">
      <c r="A323">
        <v>64</v>
      </c>
      <c r="B323" t="s">
        <v>2</v>
      </c>
      <c r="C323" s="16" t="s">
        <v>1357</v>
      </c>
      <c r="D323" t="s">
        <v>7</v>
      </c>
      <c r="F323" t="b">
        <f t="shared" si="4"/>
        <v>0</v>
      </c>
    </row>
    <row r="324" spans="1:6" ht="16" x14ac:dyDescent="0.2">
      <c r="A324">
        <v>64</v>
      </c>
      <c r="B324" t="s">
        <v>3</v>
      </c>
      <c r="C324" s="16" t="s">
        <v>1358</v>
      </c>
      <c r="D324" t="s">
        <v>7</v>
      </c>
      <c r="F324" t="b">
        <f t="shared" si="4"/>
        <v>0</v>
      </c>
    </row>
    <row r="325" spans="1:6" x14ac:dyDescent="0.2">
      <c r="A325">
        <v>65</v>
      </c>
      <c r="B325" s="22" t="s">
        <v>1359</v>
      </c>
      <c r="C325" s="22"/>
      <c r="D325" s="22"/>
      <c r="E325" s="22"/>
      <c r="F325" s="22"/>
    </row>
    <row r="326" spans="1:6" ht="16" x14ac:dyDescent="0.2">
      <c r="A326">
        <v>65</v>
      </c>
      <c r="B326" t="s">
        <v>0</v>
      </c>
      <c r="C326" s="16" t="s">
        <v>1218</v>
      </c>
      <c r="D326" t="s">
        <v>7</v>
      </c>
      <c r="F326" t="b">
        <f t="shared" ref="F326:F389" si="5">D326=E326</f>
        <v>0</v>
      </c>
    </row>
    <row r="327" spans="1:6" ht="16" x14ac:dyDescent="0.2">
      <c r="A327">
        <v>65</v>
      </c>
      <c r="B327" t="s">
        <v>1</v>
      </c>
      <c r="C327" s="16" t="s">
        <v>1216</v>
      </c>
      <c r="D327" t="s">
        <v>7</v>
      </c>
      <c r="F327" t="b">
        <f t="shared" si="5"/>
        <v>0</v>
      </c>
    </row>
    <row r="328" spans="1:6" ht="16" x14ac:dyDescent="0.2">
      <c r="A328">
        <v>65</v>
      </c>
      <c r="B328" t="s">
        <v>2</v>
      </c>
      <c r="C328" s="16" t="s">
        <v>1093</v>
      </c>
      <c r="D328" t="s">
        <v>8</v>
      </c>
      <c r="F328" t="b">
        <f t="shared" si="5"/>
        <v>0</v>
      </c>
    </row>
    <row r="329" spans="1:6" ht="16" x14ac:dyDescent="0.2">
      <c r="A329">
        <v>65</v>
      </c>
      <c r="B329" t="s">
        <v>3</v>
      </c>
      <c r="C329" s="16" t="s">
        <v>1360</v>
      </c>
      <c r="D329" t="s">
        <v>7</v>
      </c>
      <c r="F329" t="b">
        <f t="shared" si="5"/>
        <v>0</v>
      </c>
    </row>
    <row r="330" spans="1:6" x14ac:dyDescent="0.2">
      <c r="A330">
        <f>A329+1</f>
        <v>66</v>
      </c>
      <c r="B330" s="22" t="s">
        <v>1361</v>
      </c>
      <c r="C330" s="22"/>
      <c r="D330" s="22"/>
      <c r="E330" s="22"/>
      <c r="F330" s="22" t="b">
        <f t="shared" si="5"/>
        <v>1</v>
      </c>
    </row>
    <row r="331" spans="1:6" ht="16" x14ac:dyDescent="0.2">
      <c r="A331">
        <f>A330</f>
        <v>66</v>
      </c>
      <c r="B331" t="s">
        <v>0</v>
      </c>
      <c r="C331" s="16" t="s">
        <v>1217</v>
      </c>
      <c r="D331" t="s">
        <v>7</v>
      </c>
      <c r="F331" t="b">
        <f t="shared" si="5"/>
        <v>0</v>
      </c>
    </row>
    <row r="332" spans="1:6" ht="16" x14ac:dyDescent="0.2">
      <c r="A332">
        <f>A331</f>
        <v>66</v>
      </c>
      <c r="B332" t="s">
        <v>1</v>
      </c>
      <c r="C332" s="16" t="s">
        <v>1241</v>
      </c>
      <c r="D332" t="s">
        <v>8</v>
      </c>
      <c r="F332" t="b">
        <f t="shared" si="5"/>
        <v>0</v>
      </c>
    </row>
    <row r="333" spans="1:6" ht="16" x14ac:dyDescent="0.2">
      <c r="A333">
        <f>A332</f>
        <v>66</v>
      </c>
      <c r="B333" t="s">
        <v>2</v>
      </c>
      <c r="C333" s="16" t="s">
        <v>1362</v>
      </c>
      <c r="D333" t="s">
        <v>7</v>
      </c>
      <c r="F333" t="b">
        <f t="shared" si="5"/>
        <v>0</v>
      </c>
    </row>
    <row r="334" spans="1:6" ht="16" x14ac:dyDescent="0.2">
      <c r="A334">
        <f>A333</f>
        <v>66</v>
      </c>
      <c r="B334" t="s">
        <v>3</v>
      </c>
      <c r="C334" s="16" t="s">
        <v>1360</v>
      </c>
      <c r="D334" t="s">
        <v>7</v>
      </c>
      <c r="F334" t="b">
        <f t="shared" si="5"/>
        <v>0</v>
      </c>
    </row>
    <row r="335" spans="1:6" x14ac:dyDescent="0.2">
      <c r="A335">
        <f>A334+1</f>
        <v>67</v>
      </c>
      <c r="B335" s="22" t="s">
        <v>1363</v>
      </c>
      <c r="C335" s="22"/>
      <c r="D335" s="22"/>
      <c r="E335" s="22"/>
      <c r="F335" s="22"/>
    </row>
    <row r="336" spans="1:6" ht="16" x14ac:dyDescent="0.2">
      <c r="A336">
        <f>A335</f>
        <v>67</v>
      </c>
      <c r="B336" t="s">
        <v>0</v>
      </c>
      <c r="C336" s="16" t="s">
        <v>760</v>
      </c>
      <c r="D336" t="s">
        <v>7</v>
      </c>
      <c r="F336" t="b">
        <f t="shared" si="5"/>
        <v>0</v>
      </c>
    </row>
    <row r="337" spans="1:6" ht="16" x14ac:dyDescent="0.2">
      <c r="A337">
        <f>A336</f>
        <v>67</v>
      </c>
      <c r="B337" t="s">
        <v>1</v>
      </c>
      <c r="C337" s="16" t="s">
        <v>1364</v>
      </c>
      <c r="D337" t="s">
        <v>8</v>
      </c>
      <c r="F337" t="b">
        <f t="shared" si="5"/>
        <v>0</v>
      </c>
    </row>
    <row r="338" spans="1:6" ht="16" x14ac:dyDescent="0.2">
      <c r="A338">
        <f>A337</f>
        <v>67</v>
      </c>
      <c r="B338" t="s">
        <v>2</v>
      </c>
      <c r="C338" s="16" t="s">
        <v>1365</v>
      </c>
      <c r="D338" t="s">
        <v>7</v>
      </c>
      <c r="F338" t="b">
        <f t="shared" si="5"/>
        <v>0</v>
      </c>
    </row>
    <row r="339" spans="1:6" ht="16" x14ac:dyDescent="0.2">
      <c r="A339">
        <f>A338</f>
        <v>67</v>
      </c>
      <c r="B339" t="s">
        <v>3</v>
      </c>
      <c r="C339" s="16" t="s">
        <v>1366</v>
      </c>
      <c r="D339" t="s">
        <v>7</v>
      </c>
      <c r="F339" t="b">
        <f t="shared" si="5"/>
        <v>0</v>
      </c>
    </row>
    <row r="340" spans="1:6" ht="47.25" customHeight="1" x14ac:dyDescent="0.2">
      <c r="A340">
        <f>A339+1</f>
        <v>68</v>
      </c>
      <c r="B340" s="22" t="s">
        <v>1367</v>
      </c>
      <c r="C340" s="22"/>
      <c r="D340" s="22"/>
      <c r="E340" s="22"/>
      <c r="F340" s="22"/>
    </row>
    <row r="341" spans="1:6" ht="16" x14ac:dyDescent="0.2">
      <c r="A341">
        <f>A340</f>
        <v>68</v>
      </c>
      <c r="B341" t="s">
        <v>0</v>
      </c>
      <c r="C341" s="16" t="s">
        <v>1368</v>
      </c>
      <c r="D341" t="s">
        <v>7</v>
      </c>
      <c r="F341" t="b">
        <f t="shared" si="5"/>
        <v>0</v>
      </c>
    </row>
    <row r="342" spans="1:6" ht="16" x14ac:dyDescent="0.2">
      <c r="A342">
        <f>A341</f>
        <v>68</v>
      </c>
      <c r="B342" t="s">
        <v>1</v>
      </c>
      <c r="C342" s="16" t="s">
        <v>1369</v>
      </c>
      <c r="D342" t="s">
        <v>7</v>
      </c>
      <c r="F342" t="b">
        <f t="shared" si="5"/>
        <v>0</v>
      </c>
    </row>
    <row r="343" spans="1:6" ht="16" x14ac:dyDescent="0.2">
      <c r="A343">
        <f>A342</f>
        <v>68</v>
      </c>
      <c r="B343" t="s">
        <v>2</v>
      </c>
      <c r="C343" s="16" t="s">
        <v>1370</v>
      </c>
      <c r="D343" t="s">
        <v>7</v>
      </c>
      <c r="F343" t="b">
        <f t="shared" si="5"/>
        <v>0</v>
      </c>
    </row>
    <row r="344" spans="1:6" ht="16" x14ac:dyDescent="0.2">
      <c r="A344">
        <f>A343</f>
        <v>68</v>
      </c>
      <c r="B344" t="s">
        <v>3</v>
      </c>
      <c r="C344" s="16" t="s">
        <v>1371</v>
      </c>
      <c r="D344" t="s">
        <v>8</v>
      </c>
      <c r="F344" t="b">
        <f t="shared" si="5"/>
        <v>0</v>
      </c>
    </row>
    <row r="345" spans="1:6" ht="30.75" customHeight="1" x14ac:dyDescent="0.2">
      <c r="A345">
        <f t="shared" ref="A345" si="6">A344+1</f>
        <v>69</v>
      </c>
      <c r="B345" s="22" t="s">
        <v>1372</v>
      </c>
      <c r="C345" s="22"/>
      <c r="D345" s="22"/>
      <c r="E345" s="22"/>
      <c r="F345" s="22"/>
    </row>
    <row r="346" spans="1:6" ht="16" x14ac:dyDescent="0.2">
      <c r="A346">
        <f t="shared" ref="A346:A349" si="7">A345</f>
        <v>69</v>
      </c>
      <c r="B346" t="s">
        <v>0</v>
      </c>
      <c r="C346" s="16" t="s">
        <v>809</v>
      </c>
      <c r="D346" t="s">
        <v>7</v>
      </c>
      <c r="F346" t="b">
        <f t="shared" si="5"/>
        <v>0</v>
      </c>
    </row>
    <row r="347" spans="1:6" ht="16" x14ac:dyDescent="0.2">
      <c r="A347">
        <f t="shared" si="7"/>
        <v>69</v>
      </c>
      <c r="B347" t="s">
        <v>1</v>
      </c>
      <c r="C347" s="16" t="s">
        <v>1373</v>
      </c>
      <c r="D347" t="s">
        <v>7</v>
      </c>
      <c r="F347" t="b">
        <f t="shared" si="5"/>
        <v>0</v>
      </c>
    </row>
    <row r="348" spans="1:6" ht="16" x14ac:dyDescent="0.2">
      <c r="A348">
        <f t="shared" si="7"/>
        <v>69</v>
      </c>
      <c r="B348" t="s">
        <v>2</v>
      </c>
      <c r="C348" s="16" t="s">
        <v>1374</v>
      </c>
      <c r="D348" t="s">
        <v>7</v>
      </c>
      <c r="F348" t="b">
        <f t="shared" si="5"/>
        <v>0</v>
      </c>
    </row>
    <row r="349" spans="1:6" ht="16" x14ac:dyDescent="0.2">
      <c r="A349">
        <f t="shared" si="7"/>
        <v>69</v>
      </c>
      <c r="B349" t="s">
        <v>3</v>
      </c>
      <c r="C349" s="16" t="s">
        <v>1375</v>
      </c>
      <c r="D349" t="s">
        <v>8</v>
      </c>
      <c r="F349" t="b">
        <f t="shared" si="5"/>
        <v>0</v>
      </c>
    </row>
    <row r="350" spans="1:6" ht="60" customHeight="1" x14ac:dyDescent="0.2">
      <c r="A350">
        <f t="shared" ref="A350" si="8">A349+1</f>
        <v>70</v>
      </c>
      <c r="B350" s="22" t="s">
        <v>1376</v>
      </c>
      <c r="C350" s="22"/>
      <c r="D350" s="22"/>
      <c r="E350" s="22"/>
      <c r="F350" s="22"/>
    </row>
    <row r="351" spans="1:6" ht="32" x14ac:dyDescent="0.2">
      <c r="A351">
        <f t="shared" ref="A351:A354" si="9">A350</f>
        <v>70</v>
      </c>
      <c r="B351" t="s">
        <v>0</v>
      </c>
      <c r="C351" s="16" t="s">
        <v>1377</v>
      </c>
      <c r="D351" t="s">
        <v>7</v>
      </c>
      <c r="F351" t="b">
        <f t="shared" si="5"/>
        <v>0</v>
      </c>
    </row>
    <row r="352" spans="1:6" ht="16" x14ac:dyDescent="0.2">
      <c r="A352">
        <f t="shared" si="9"/>
        <v>70</v>
      </c>
      <c r="B352" t="s">
        <v>1</v>
      </c>
      <c r="C352" s="16" t="s">
        <v>1378</v>
      </c>
      <c r="D352" t="s">
        <v>7</v>
      </c>
      <c r="F352" t="b">
        <f t="shared" si="5"/>
        <v>0</v>
      </c>
    </row>
    <row r="353" spans="1:6" ht="16" x14ac:dyDescent="0.2">
      <c r="A353">
        <f t="shared" si="9"/>
        <v>70</v>
      </c>
      <c r="B353" t="s">
        <v>2</v>
      </c>
      <c r="C353" s="16" t="s">
        <v>1379</v>
      </c>
      <c r="D353" t="s">
        <v>8</v>
      </c>
      <c r="F353" t="b">
        <f t="shared" si="5"/>
        <v>0</v>
      </c>
    </row>
    <row r="354" spans="1:6" ht="16" x14ac:dyDescent="0.2">
      <c r="A354">
        <f t="shared" si="9"/>
        <v>70</v>
      </c>
      <c r="B354" t="s">
        <v>3</v>
      </c>
      <c r="C354" s="16" t="s">
        <v>1380</v>
      </c>
      <c r="D354" t="s">
        <v>7</v>
      </c>
      <c r="F354" t="b">
        <f t="shared" si="5"/>
        <v>0</v>
      </c>
    </row>
    <row r="355" spans="1:6" ht="43.5" customHeight="1" x14ac:dyDescent="0.2">
      <c r="A355">
        <f t="shared" ref="A355" si="10">A354+1</f>
        <v>71</v>
      </c>
      <c r="B355" s="22" t="s">
        <v>1381</v>
      </c>
      <c r="C355" s="22"/>
      <c r="D355" s="22"/>
      <c r="E355" s="22"/>
      <c r="F355" s="22"/>
    </row>
    <row r="356" spans="1:6" ht="16" x14ac:dyDescent="0.2">
      <c r="A356">
        <f t="shared" ref="A356:A359" si="11">A355</f>
        <v>71</v>
      </c>
      <c r="B356" t="s">
        <v>0</v>
      </c>
      <c r="C356" s="16" t="s">
        <v>759</v>
      </c>
      <c r="D356" t="s">
        <v>8</v>
      </c>
      <c r="F356" t="b">
        <f t="shared" si="5"/>
        <v>0</v>
      </c>
    </row>
    <row r="357" spans="1:6" ht="16" x14ac:dyDescent="0.2">
      <c r="A357">
        <f t="shared" si="11"/>
        <v>71</v>
      </c>
      <c r="B357" t="s">
        <v>1</v>
      </c>
      <c r="C357" s="16" t="s">
        <v>760</v>
      </c>
      <c r="D357" t="s">
        <v>8</v>
      </c>
      <c r="F357" t="b">
        <f t="shared" si="5"/>
        <v>0</v>
      </c>
    </row>
    <row r="358" spans="1:6" ht="16" x14ac:dyDescent="0.2">
      <c r="A358">
        <f t="shared" si="11"/>
        <v>71</v>
      </c>
      <c r="B358" t="s">
        <v>2</v>
      </c>
      <c r="C358" s="16" t="s">
        <v>1151</v>
      </c>
      <c r="D358" t="s">
        <v>7</v>
      </c>
      <c r="F358" t="b">
        <f t="shared" si="5"/>
        <v>0</v>
      </c>
    </row>
    <row r="359" spans="1:6" ht="16" x14ac:dyDescent="0.2">
      <c r="A359">
        <f t="shared" si="11"/>
        <v>71</v>
      </c>
      <c r="B359" t="s">
        <v>3</v>
      </c>
      <c r="C359" s="16" t="s">
        <v>1382</v>
      </c>
      <c r="D359" t="s">
        <v>7</v>
      </c>
      <c r="F359" t="b">
        <f t="shared" si="5"/>
        <v>0</v>
      </c>
    </row>
    <row r="360" spans="1:6" ht="30.75" customHeight="1" x14ac:dyDescent="0.2">
      <c r="A360">
        <f t="shared" ref="A360" si="12">A359+1</f>
        <v>72</v>
      </c>
      <c r="B360" s="22" t="s">
        <v>1383</v>
      </c>
      <c r="C360" s="22"/>
      <c r="D360" s="22"/>
      <c r="E360" s="22"/>
      <c r="F360" s="22"/>
    </row>
    <row r="361" spans="1:6" ht="16" x14ac:dyDescent="0.2">
      <c r="A361">
        <f t="shared" ref="A361:A364" si="13">A360</f>
        <v>72</v>
      </c>
      <c r="B361" t="s">
        <v>0</v>
      </c>
      <c r="C361" s="16" t="s">
        <v>1099</v>
      </c>
      <c r="D361" t="s">
        <v>7</v>
      </c>
      <c r="F361" t="b">
        <f t="shared" si="5"/>
        <v>0</v>
      </c>
    </row>
    <row r="362" spans="1:6" ht="16" x14ac:dyDescent="0.2">
      <c r="A362">
        <f t="shared" si="13"/>
        <v>72</v>
      </c>
      <c r="B362" t="s">
        <v>1</v>
      </c>
      <c r="C362" s="16" t="s">
        <v>1384</v>
      </c>
      <c r="D362" t="s">
        <v>7</v>
      </c>
      <c r="F362" t="b">
        <f t="shared" si="5"/>
        <v>0</v>
      </c>
    </row>
    <row r="363" spans="1:6" ht="16" x14ac:dyDescent="0.2">
      <c r="A363">
        <f t="shared" si="13"/>
        <v>72</v>
      </c>
      <c r="B363" t="s">
        <v>2</v>
      </c>
      <c r="C363" s="16" t="s">
        <v>4</v>
      </c>
      <c r="D363" t="s">
        <v>8</v>
      </c>
      <c r="F363" t="b">
        <f t="shared" si="5"/>
        <v>0</v>
      </c>
    </row>
    <row r="364" spans="1:6" ht="16" x14ac:dyDescent="0.2">
      <c r="A364">
        <f t="shared" si="13"/>
        <v>72</v>
      </c>
      <c r="B364" t="s">
        <v>3</v>
      </c>
      <c r="C364" s="16" t="s">
        <v>22</v>
      </c>
      <c r="D364" t="s">
        <v>7</v>
      </c>
      <c r="F364" t="b">
        <f t="shared" si="5"/>
        <v>0</v>
      </c>
    </row>
    <row r="365" spans="1:6" ht="29.25" customHeight="1" x14ac:dyDescent="0.2">
      <c r="A365">
        <f t="shared" ref="A365" si="14">A364+1</f>
        <v>73</v>
      </c>
      <c r="B365" s="22" t="s">
        <v>1385</v>
      </c>
      <c r="C365" s="22"/>
      <c r="D365" s="22"/>
      <c r="E365" s="22"/>
      <c r="F365" s="22"/>
    </row>
    <row r="366" spans="1:6" ht="16" x14ac:dyDescent="0.2">
      <c r="A366">
        <f t="shared" ref="A366:A369" si="15">A365</f>
        <v>73</v>
      </c>
      <c r="B366" t="s">
        <v>0</v>
      </c>
      <c r="C366" s="16" t="s">
        <v>1386</v>
      </c>
      <c r="D366" t="s">
        <v>7</v>
      </c>
      <c r="F366" t="b">
        <f t="shared" si="5"/>
        <v>0</v>
      </c>
    </row>
    <row r="367" spans="1:6" ht="16" x14ac:dyDescent="0.2">
      <c r="A367">
        <f t="shared" si="15"/>
        <v>73</v>
      </c>
      <c r="B367" t="s">
        <v>1</v>
      </c>
      <c r="C367" s="16" t="s">
        <v>1114</v>
      </c>
      <c r="D367" t="s">
        <v>7</v>
      </c>
      <c r="F367" t="b">
        <f t="shared" si="5"/>
        <v>0</v>
      </c>
    </row>
    <row r="368" spans="1:6" ht="16" x14ac:dyDescent="0.2">
      <c r="A368">
        <f t="shared" si="15"/>
        <v>73</v>
      </c>
      <c r="B368" t="s">
        <v>2</v>
      </c>
      <c r="C368" s="16" t="s">
        <v>4</v>
      </c>
      <c r="D368" t="s">
        <v>7</v>
      </c>
      <c r="F368" t="b">
        <f t="shared" si="5"/>
        <v>0</v>
      </c>
    </row>
    <row r="369" spans="1:6" ht="16" x14ac:dyDescent="0.2">
      <c r="A369">
        <f t="shared" si="15"/>
        <v>73</v>
      </c>
      <c r="B369" t="s">
        <v>3</v>
      </c>
      <c r="C369" s="16" t="s">
        <v>1115</v>
      </c>
      <c r="D369" t="s">
        <v>8</v>
      </c>
      <c r="F369" t="b">
        <f t="shared" si="5"/>
        <v>0</v>
      </c>
    </row>
    <row r="370" spans="1:6" ht="32.25" customHeight="1" x14ac:dyDescent="0.2">
      <c r="A370">
        <f t="shared" ref="A370" si="16">A369+1</f>
        <v>74</v>
      </c>
      <c r="B370" s="22" t="s">
        <v>1387</v>
      </c>
      <c r="C370" s="22"/>
      <c r="D370" s="22"/>
      <c r="E370" s="22"/>
      <c r="F370" s="22"/>
    </row>
    <row r="371" spans="1:6" ht="16" x14ac:dyDescent="0.2">
      <c r="A371">
        <f t="shared" ref="A371:A374" si="17">A370</f>
        <v>74</v>
      </c>
      <c r="B371" t="s">
        <v>0</v>
      </c>
      <c r="C371" s="16" t="s">
        <v>1117</v>
      </c>
      <c r="D371" t="s">
        <v>8</v>
      </c>
      <c r="F371" t="b">
        <f t="shared" si="5"/>
        <v>0</v>
      </c>
    </row>
    <row r="372" spans="1:6" ht="16" x14ac:dyDescent="0.2">
      <c r="A372">
        <f t="shared" si="17"/>
        <v>74</v>
      </c>
      <c r="B372" t="s">
        <v>1</v>
      </c>
      <c r="C372" s="16" t="s">
        <v>808</v>
      </c>
      <c r="D372" t="s">
        <v>7</v>
      </c>
      <c r="F372" t="b">
        <f t="shared" si="5"/>
        <v>0</v>
      </c>
    </row>
    <row r="373" spans="1:6" ht="16" x14ac:dyDescent="0.2">
      <c r="A373">
        <f t="shared" si="17"/>
        <v>74</v>
      </c>
      <c r="B373" t="s">
        <v>2</v>
      </c>
      <c r="C373" s="16" t="s">
        <v>1360</v>
      </c>
      <c r="D373" t="s">
        <v>7</v>
      </c>
      <c r="F373" t="b">
        <f t="shared" si="5"/>
        <v>0</v>
      </c>
    </row>
    <row r="374" spans="1:6" ht="16" x14ac:dyDescent="0.2">
      <c r="A374">
        <f t="shared" si="17"/>
        <v>74</v>
      </c>
      <c r="B374" t="s">
        <v>3</v>
      </c>
      <c r="C374" s="16" t="s">
        <v>1388</v>
      </c>
      <c r="D374" t="s">
        <v>7</v>
      </c>
      <c r="F374" t="b">
        <f t="shared" si="5"/>
        <v>0</v>
      </c>
    </row>
    <row r="375" spans="1:6" ht="29.25" customHeight="1" x14ac:dyDescent="0.2">
      <c r="A375">
        <f t="shared" ref="A375" si="18">A374+1</f>
        <v>75</v>
      </c>
      <c r="B375" s="22" t="s">
        <v>1389</v>
      </c>
      <c r="C375" s="22"/>
      <c r="D375" s="22"/>
      <c r="E375" s="22"/>
      <c r="F375" s="22"/>
    </row>
    <row r="376" spans="1:6" ht="16" x14ac:dyDescent="0.2">
      <c r="A376">
        <f t="shared" ref="A376:A379" si="19">A375</f>
        <v>75</v>
      </c>
      <c r="B376" t="s">
        <v>0</v>
      </c>
      <c r="C376" s="16" t="s">
        <v>1390</v>
      </c>
      <c r="D376" t="s">
        <v>7</v>
      </c>
      <c r="F376" t="b">
        <f t="shared" si="5"/>
        <v>0</v>
      </c>
    </row>
    <row r="377" spans="1:6" ht="16" x14ac:dyDescent="0.2">
      <c r="A377">
        <f t="shared" si="19"/>
        <v>75</v>
      </c>
      <c r="B377" t="s">
        <v>1</v>
      </c>
      <c r="C377" s="16" t="s">
        <v>1391</v>
      </c>
      <c r="D377" t="s">
        <v>7</v>
      </c>
      <c r="F377" t="b">
        <f t="shared" si="5"/>
        <v>0</v>
      </c>
    </row>
    <row r="378" spans="1:6" ht="16" x14ac:dyDescent="0.2">
      <c r="A378">
        <f t="shared" si="19"/>
        <v>75</v>
      </c>
      <c r="B378" t="s">
        <v>2</v>
      </c>
      <c r="C378" s="16" t="s">
        <v>1340</v>
      </c>
      <c r="D378" t="s">
        <v>8</v>
      </c>
      <c r="F378" t="b">
        <f t="shared" si="5"/>
        <v>0</v>
      </c>
    </row>
    <row r="379" spans="1:6" ht="16" x14ac:dyDescent="0.2">
      <c r="A379">
        <f t="shared" si="19"/>
        <v>75</v>
      </c>
      <c r="B379" t="s">
        <v>3</v>
      </c>
      <c r="C379" s="16" t="s">
        <v>1271</v>
      </c>
      <c r="D379" t="s">
        <v>7</v>
      </c>
      <c r="F379" t="b">
        <f t="shared" si="5"/>
        <v>0</v>
      </c>
    </row>
    <row r="380" spans="1:6" ht="42" customHeight="1" x14ac:dyDescent="0.2">
      <c r="A380">
        <f t="shared" ref="A380" si="20">A379+1</f>
        <v>76</v>
      </c>
      <c r="B380" s="22" t="s">
        <v>1392</v>
      </c>
      <c r="C380" s="22"/>
      <c r="D380" s="22"/>
      <c r="E380" s="22"/>
      <c r="F380" s="22"/>
    </row>
    <row r="381" spans="1:6" ht="16" x14ac:dyDescent="0.2">
      <c r="A381">
        <f t="shared" ref="A381:A384" si="21">A380</f>
        <v>76</v>
      </c>
      <c r="B381" t="s">
        <v>0</v>
      </c>
      <c r="C381" s="16" t="s">
        <v>1393</v>
      </c>
      <c r="D381" t="s">
        <v>8</v>
      </c>
      <c r="F381" t="b">
        <f t="shared" si="5"/>
        <v>0</v>
      </c>
    </row>
    <row r="382" spans="1:6" ht="16" x14ac:dyDescent="0.2">
      <c r="A382">
        <f t="shared" si="21"/>
        <v>76</v>
      </c>
      <c r="B382" t="s">
        <v>1</v>
      </c>
      <c r="C382" s="16" t="s">
        <v>512</v>
      </c>
      <c r="D382" t="s">
        <v>8</v>
      </c>
      <c r="F382" t="b">
        <f t="shared" si="5"/>
        <v>0</v>
      </c>
    </row>
    <row r="383" spans="1:6" ht="16" x14ac:dyDescent="0.2">
      <c r="A383">
        <f t="shared" si="21"/>
        <v>76</v>
      </c>
      <c r="B383" t="s">
        <v>2</v>
      </c>
      <c r="C383" s="16" t="s">
        <v>1119</v>
      </c>
      <c r="D383" t="s">
        <v>8</v>
      </c>
      <c r="F383" t="b">
        <f t="shared" si="5"/>
        <v>0</v>
      </c>
    </row>
    <row r="384" spans="1:6" ht="16" x14ac:dyDescent="0.2">
      <c r="A384">
        <f t="shared" si="21"/>
        <v>76</v>
      </c>
      <c r="B384" t="s">
        <v>3</v>
      </c>
      <c r="C384" s="16" t="s">
        <v>23</v>
      </c>
      <c r="D384" t="s">
        <v>7</v>
      </c>
      <c r="F384" t="b">
        <f t="shared" si="5"/>
        <v>0</v>
      </c>
    </row>
    <row r="385" spans="1:6" ht="61.5" customHeight="1" x14ac:dyDescent="0.2">
      <c r="A385">
        <f t="shared" ref="A385" si="22">A384+1</f>
        <v>77</v>
      </c>
      <c r="B385" s="22" t="s">
        <v>1394</v>
      </c>
      <c r="C385" s="22"/>
      <c r="D385" s="22"/>
      <c r="E385" s="22"/>
      <c r="F385" s="22"/>
    </row>
    <row r="386" spans="1:6" ht="16" x14ac:dyDescent="0.2">
      <c r="A386">
        <f t="shared" ref="A386:A389" si="23">A385</f>
        <v>77</v>
      </c>
      <c r="B386" t="s">
        <v>0</v>
      </c>
      <c r="C386" s="16" t="s">
        <v>5</v>
      </c>
      <c r="D386" t="s">
        <v>7</v>
      </c>
      <c r="F386" t="b">
        <f t="shared" si="5"/>
        <v>0</v>
      </c>
    </row>
    <row r="387" spans="1:6" ht="16" x14ac:dyDescent="0.2">
      <c r="A387">
        <f t="shared" si="23"/>
        <v>77</v>
      </c>
      <c r="B387" t="s">
        <v>1</v>
      </c>
      <c r="C387" s="16" t="s">
        <v>1132</v>
      </c>
      <c r="D387" t="s">
        <v>7</v>
      </c>
      <c r="F387" t="b">
        <f t="shared" si="5"/>
        <v>0</v>
      </c>
    </row>
    <row r="388" spans="1:6" ht="16" x14ac:dyDescent="0.2">
      <c r="A388">
        <f t="shared" si="23"/>
        <v>77</v>
      </c>
      <c r="B388" t="s">
        <v>2</v>
      </c>
      <c r="C388" s="16" t="s">
        <v>1133</v>
      </c>
      <c r="D388" t="s">
        <v>7</v>
      </c>
      <c r="F388" t="b">
        <f t="shared" si="5"/>
        <v>0</v>
      </c>
    </row>
    <row r="389" spans="1:6" ht="16" x14ac:dyDescent="0.2">
      <c r="A389">
        <f t="shared" si="23"/>
        <v>77</v>
      </c>
      <c r="B389" t="s">
        <v>3</v>
      </c>
      <c r="C389" s="16" t="s">
        <v>1134</v>
      </c>
      <c r="D389" t="s">
        <v>8</v>
      </c>
      <c r="F389" t="b">
        <f t="shared" si="5"/>
        <v>0</v>
      </c>
    </row>
    <row r="390" spans="1:6" ht="45.75" customHeight="1" x14ac:dyDescent="0.2">
      <c r="A390">
        <f t="shared" ref="A390" si="24">A389+1</f>
        <v>78</v>
      </c>
      <c r="B390" s="22" t="s">
        <v>1395</v>
      </c>
      <c r="C390" s="22"/>
      <c r="D390" s="22"/>
      <c r="E390" s="22"/>
      <c r="F390" s="22"/>
    </row>
    <row r="391" spans="1:6" ht="16" x14ac:dyDescent="0.2">
      <c r="A391">
        <f t="shared" ref="A391:A394" si="25">A390</f>
        <v>78</v>
      </c>
      <c r="B391" t="s">
        <v>0</v>
      </c>
      <c r="C391" s="16" t="s">
        <v>1396</v>
      </c>
      <c r="D391" t="s">
        <v>8</v>
      </c>
      <c r="F391" t="b">
        <f t="shared" ref="F391:F399" si="26">D391=E391</f>
        <v>0</v>
      </c>
    </row>
    <row r="392" spans="1:6" ht="16" x14ac:dyDescent="0.2">
      <c r="A392">
        <f t="shared" si="25"/>
        <v>78</v>
      </c>
      <c r="B392" t="s">
        <v>1</v>
      </c>
      <c r="C392" s="16" t="s">
        <v>5</v>
      </c>
      <c r="D392" t="s">
        <v>7</v>
      </c>
      <c r="F392" t="b">
        <f t="shared" si="26"/>
        <v>0</v>
      </c>
    </row>
    <row r="393" spans="1:6" ht="16" x14ac:dyDescent="0.2">
      <c r="A393">
        <f t="shared" si="25"/>
        <v>78</v>
      </c>
      <c r="B393" t="s">
        <v>2</v>
      </c>
      <c r="C393" s="16" t="s">
        <v>759</v>
      </c>
      <c r="D393" t="s">
        <v>7</v>
      </c>
      <c r="F393" t="b">
        <f t="shared" si="26"/>
        <v>0</v>
      </c>
    </row>
    <row r="394" spans="1:6" ht="16" x14ac:dyDescent="0.2">
      <c r="A394">
        <f t="shared" si="25"/>
        <v>78</v>
      </c>
      <c r="B394" t="s">
        <v>3</v>
      </c>
      <c r="C394" s="16" t="s">
        <v>1397</v>
      </c>
      <c r="D394" t="s">
        <v>7</v>
      </c>
      <c r="F394" t="b">
        <f t="shared" si="26"/>
        <v>0</v>
      </c>
    </row>
    <row r="395" spans="1:6" ht="33" customHeight="1" x14ac:dyDescent="0.2">
      <c r="A395">
        <f t="shared" ref="A395" si="27">A394+1</f>
        <v>79</v>
      </c>
      <c r="B395" s="22" t="s">
        <v>1398</v>
      </c>
      <c r="C395" s="22"/>
      <c r="D395" s="22"/>
      <c r="E395" s="22"/>
      <c r="F395" s="22"/>
    </row>
    <row r="396" spans="1:6" ht="16" x14ac:dyDescent="0.2">
      <c r="A396">
        <f t="shared" ref="A396:A399" si="28">A395</f>
        <v>79</v>
      </c>
      <c r="B396" t="s">
        <v>0</v>
      </c>
      <c r="C396" s="16" t="s">
        <v>1136</v>
      </c>
      <c r="D396" t="s">
        <v>8</v>
      </c>
      <c r="F396" t="b">
        <f t="shared" si="26"/>
        <v>0</v>
      </c>
    </row>
    <row r="397" spans="1:6" ht="16" x14ac:dyDescent="0.2">
      <c r="A397">
        <f t="shared" si="28"/>
        <v>79</v>
      </c>
      <c r="B397" t="s">
        <v>1</v>
      </c>
      <c r="C397" s="16" t="s">
        <v>1137</v>
      </c>
      <c r="D397" t="s">
        <v>7</v>
      </c>
      <c r="F397" t="b">
        <f t="shared" si="26"/>
        <v>0</v>
      </c>
    </row>
    <row r="398" spans="1:6" ht="16" x14ac:dyDescent="0.2">
      <c r="A398">
        <f t="shared" si="28"/>
        <v>79</v>
      </c>
      <c r="B398" t="s">
        <v>2</v>
      </c>
      <c r="C398" s="16" t="s">
        <v>1138</v>
      </c>
      <c r="D398" t="s">
        <v>7</v>
      </c>
      <c r="F398" t="b">
        <f t="shared" si="26"/>
        <v>0</v>
      </c>
    </row>
    <row r="399" spans="1:6" ht="16" x14ac:dyDescent="0.2">
      <c r="A399">
        <f t="shared" si="28"/>
        <v>79</v>
      </c>
      <c r="B399" t="s">
        <v>3</v>
      </c>
      <c r="C399" s="16" t="s">
        <v>1139</v>
      </c>
      <c r="D399" t="s">
        <v>7</v>
      </c>
      <c r="F399" t="b">
        <f t="shared" si="26"/>
        <v>0</v>
      </c>
    </row>
    <row r="400" spans="1:6" ht="29.25" customHeight="1" x14ac:dyDescent="0.2">
      <c r="A400">
        <f t="shared" ref="A400" si="29">A399+1</f>
        <v>80</v>
      </c>
      <c r="B400" s="22" t="s">
        <v>1399</v>
      </c>
      <c r="C400" s="22"/>
      <c r="D400" s="22"/>
      <c r="E400" s="22"/>
      <c r="F400" s="22"/>
    </row>
    <row r="401" spans="1:6" ht="16" x14ac:dyDescent="0.2">
      <c r="A401">
        <f t="shared" ref="A401:A404" si="30">A400</f>
        <v>80</v>
      </c>
      <c r="B401" t="s">
        <v>0</v>
      </c>
      <c r="C401" s="16" t="s">
        <v>1141</v>
      </c>
      <c r="D401" t="s">
        <v>7</v>
      </c>
      <c r="F401" t="b">
        <f t="shared" ref="F401:F404" si="31">D401=E401</f>
        <v>0</v>
      </c>
    </row>
    <row r="402" spans="1:6" ht="16" x14ac:dyDescent="0.2">
      <c r="A402">
        <f t="shared" si="30"/>
        <v>80</v>
      </c>
      <c r="B402" t="s">
        <v>1</v>
      </c>
      <c r="C402" s="16" t="s">
        <v>1142</v>
      </c>
      <c r="D402" t="s">
        <v>8</v>
      </c>
      <c r="F402" t="b">
        <f t="shared" si="31"/>
        <v>0</v>
      </c>
    </row>
    <row r="403" spans="1:6" ht="16" x14ac:dyDescent="0.2">
      <c r="A403">
        <f t="shared" si="30"/>
        <v>80</v>
      </c>
      <c r="B403" t="s">
        <v>2</v>
      </c>
      <c r="C403" s="16" t="s">
        <v>1143</v>
      </c>
      <c r="D403" t="s">
        <v>8</v>
      </c>
      <c r="F403" t="b">
        <f t="shared" si="31"/>
        <v>0</v>
      </c>
    </row>
    <row r="404" spans="1:6" ht="30" customHeight="1" x14ac:dyDescent="0.2">
      <c r="A404">
        <f t="shared" si="30"/>
        <v>80</v>
      </c>
      <c r="B404" t="s">
        <v>3</v>
      </c>
      <c r="C404" s="16" t="s">
        <v>1144</v>
      </c>
      <c r="D404" t="s">
        <v>8</v>
      </c>
      <c r="F404" t="b">
        <f t="shared" si="31"/>
        <v>0</v>
      </c>
    </row>
    <row r="405" spans="1:6" ht="45.75" customHeight="1" x14ac:dyDescent="0.2">
      <c r="A405">
        <f t="shared" ref="A405" si="32">A404+1</f>
        <v>81</v>
      </c>
      <c r="B405" s="22" t="s">
        <v>1400</v>
      </c>
      <c r="C405" s="22"/>
      <c r="D405" s="22"/>
      <c r="E405" s="22"/>
      <c r="F405" s="22"/>
    </row>
    <row r="406" spans="1:6" ht="32" x14ac:dyDescent="0.2">
      <c r="A406">
        <f t="shared" ref="A406:A409" si="33">A405</f>
        <v>81</v>
      </c>
      <c r="B406" t="s">
        <v>0</v>
      </c>
      <c r="C406" s="16" t="s">
        <v>1401</v>
      </c>
      <c r="D406" t="s">
        <v>7</v>
      </c>
      <c r="F406" t="b">
        <f t="shared" ref="F406:F409" si="34">D406=E406</f>
        <v>0</v>
      </c>
    </row>
    <row r="407" spans="1:6" ht="32" x14ac:dyDescent="0.2">
      <c r="A407">
        <f t="shared" si="33"/>
        <v>81</v>
      </c>
      <c r="B407" t="s">
        <v>1</v>
      </c>
      <c r="C407" s="16" t="s">
        <v>1402</v>
      </c>
      <c r="D407" t="s">
        <v>8</v>
      </c>
      <c r="F407" t="b">
        <f t="shared" si="34"/>
        <v>0</v>
      </c>
    </row>
    <row r="408" spans="1:6" ht="32" x14ac:dyDescent="0.2">
      <c r="A408">
        <f t="shared" si="33"/>
        <v>81</v>
      </c>
      <c r="B408" t="s">
        <v>2</v>
      </c>
      <c r="C408" s="16" t="s">
        <v>1403</v>
      </c>
      <c r="D408" t="s">
        <v>7</v>
      </c>
      <c r="F408" t="b">
        <f t="shared" si="34"/>
        <v>0</v>
      </c>
    </row>
    <row r="409" spans="1:6" ht="16" x14ac:dyDescent="0.2">
      <c r="A409">
        <f t="shared" si="33"/>
        <v>81</v>
      </c>
      <c r="B409" t="s">
        <v>3</v>
      </c>
      <c r="C409" s="16" t="s">
        <v>1404</v>
      </c>
      <c r="D409" t="s">
        <v>7</v>
      </c>
      <c r="F409" t="b">
        <f t="shared" si="34"/>
        <v>0</v>
      </c>
    </row>
    <row r="410" spans="1:6" ht="29.25" customHeight="1" x14ac:dyDescent="0.2">
      <c r="A410">
        <f t="shared" ref="A410" si="35">A409+1</f>
        <v>82</v>
      </c>
      <c r="B410" s="22" t="s">
        <v>1405</v>
      </c>
      <c r="C410" s="22"/>
      <c r="D410" s="22"/>
      <c r="E410" s="22"/>
      <c r="F410" s="22"/>
    </row>
    <row r="411" spans="1:6" ht="16" x14ac:dyDescent="0.2">
      <c r="A411">
        <f t="shared" ref="A411:A414" si="36">A410</f>
        <v>82</v>
      </c>
      <c r="B411" t="s">
        <v>0</v>
      </c>
      <c r="C411" s="16" t="s">
        <v>1151</v>
      </c>
      <c r="D411" t="s">
        <v>7</v>
      </c>
      <c r="F411" t="b">
        <f t="shared" ref="F411:F414" si="37">D411=E411</f>
        <v>0</v>
      </c>
    </row>
    <row r="412" spans="1:6" ht="16" x14ac:dyDescent="0.2">
      <c r="A412">
        <f t="shared" si="36"/>
        <v>82</v>
      </c>
      <c r="B412" t="s">
        <v>1</v>
      </c>
      <c r="C412" s="16" t="s">
        <v>1152</v>
      </c>
      <c r="D412" t="s">
        <v>8</v>
      </c>
      <c r="F412" t="b">
        <f t="shared" si="37"/>
        <v>0</v>
      </c>
    </row>
    <row r="413" spans="1:6" ht="16" x14ac:dyDescent="0.2">
      <c r="A413">
        <f t="shared" si="36"/>
        <v>82</v>
      </c>
      <c r="B413" t="s">
        <v>2</v>
      </c>
      <c r="C413" s="16" t="s">
        <v>1153</v>
      </c>
      <c r="D413" t="s">
        <v>7</v>
      </c>
      <c r="F413" t="b">
        <f t="shared" si="37"/>
        <v>0</v>
      </c>
    </row>
    <row r="414" spans="1:6" ht="16" x14ac:dyDescent="0.2">
      <c r="A414">
        <f t="shared" si="36"/>
        <v>82</v>
      </c>
      <c r="B414" t="s">
        <v>3</v>
      </c>
      <c r="C414" s="16" t="s">
        <v>1154</v>
      </c>
      <c r="D414" t="s">
        <v>7</v>
      </c>
      <c r="F414" t="b">
        <f t="shared" si="37"/>
        <v>0</v>
      </c>
    </row>
    <row r="415" spans="1:6" ht="60.75" customHeight="1" x14ac:dyDescent="0.2">
      <c r="A415">
        <f t="shared" ref="A415" si="38">A414+1</f>
        <v>83</v>
      </c>
      <c r="B415" s="22" t="s">
        <v>1406</v>
      </c>
      <c r="C415" s="22"/>
      <c r="D415" s="22"/>
      <c r="E415" s="22"/>
      <c r="F415" s="22"/>
    </row>
    <row r="416" spans="1:6" ht="16" x14ac:dyDescent="0.2">
      <c r="A416">
        <f t="shared" ref="A416:A419" si="39">A415</f>
        <v>83</v>
      </c>
      <c r="B416" t="s">
        <v>0</v>
      </c>
      <c r="C416" s="16" t="s">
        <v>1407</v>
      </c>
      <c r="D416" t="s">
        <v>7</v>
      </c>
      <c r="F416" t="b">
        <f t="shared" ref="F416:F419" si="40">D416=E416</f>
        <v>0</v>
      </c>
    </row>
    <row r="417" spans="1:6" ht="16" x14ac:dyDescent="0.2">
      <c r="A417">
        <f t="shared" si="39"/>
        <v>83</v>
      </c>
      <c r="B417" t="s">
        <v>1</v>
      </c>
      <c r="C417" s="16" t="s">
        <v>1408</v>
      </c>
      <c r="D417" t="s">
        <v>8</v>
      </c>
      <c r="F417" t="b">
        <f t="shared" si="40"/>
        <v>0</v>
      </c>
    </row>
    <row r="418" spans="1:6" ht="16" x14ac:dyDescent="0.2">
      <c r="A418">
        <f t="shared" si="39"/>
        <v>83</v>
      </c>
      <c r="B418" t="s">
        <v>2</v>
      </c>
      <c r="C418" s="16" t="s">
        <v>1409</v>
      </c>
      <c r="D418" t="s">
        <v>7</v>
      </c>
      <c r="F418" t="b">
        <f t="shared" si="40"/>
        <v>0</v>
      </c>
    </row>
    <row r="419" spans="1:6" ht="16" x14ac:dyDescent="0.2">
      <c r="A419">
        <f t="shared" si="39"/>
        <v>83</v>
      </c>
      <c r="B419" t="s">
        <v>3</v>
      </c>
      <c r="C419" s="16" t="s">
        <v>1410</v>
      </c>
      <c r="D419" t="s">
        <v>7</v>
      </c>
      <c r="F419" t="b">
        <f t="shared" si="40"/>
        <v>0</v>
      </c>
    </row>
    <row r="420" spans="1:6" x14ac:dyDescent="0.2">
      <c r="A420">
        <f t="shared" ref="A420" si="41">A419+1</f>
        <v>84</v>
      </c>
      <c r="B420" s="22" t="s">
        <v>1411</v>
      </c>
      <c r="C420" s="22"/>
      <c r="D420" s="22"/>
      <c r="E420" s="22"/>
      <c r="F420" s="22"/>
    </row>
    <row r="421" spans="1:6" ht="16" x14ac:dyDescent="0.2">
      <c r="A421">
        <f t="shared" ref="A421:A424" si="42">A420</f>
        <v>84</v>
      </c>
      <c r="B421" t="s">
        <v>0</v>
      </c>
      <c r="C421" s="16" t="s">
        <v>1412</v>
      </c>
      <c r="D421" t="s">
        <v>7</v>
      </c>
      <c r="F421" t="b">
        <f t="shared" ref="F421:F424" si="43">D421=E421</f>
        <v>0</v>
      </c>
    </row>
    <row r="422" spans="1:6" ht="16" x14ac:dyDescent="0.2">
      <c r="A422">
        <f t="shared" si="42"/>
        <v>84</v>
      </c>
      <c r="B422" t="s">
        <v>1</v>
      </c>
      <c r="C422" s="16" t="s">
        <v>1413</v>
      </c>
      <c r="D422" t="s">
        <v>7</v>
      </c>
      <c r="F422" t="b">
        <f t="shared" si="43"/>
        <v>0</v>
      </c>
    </row>
    <row r="423" spans="1:6" ht="16" x14ac:dyDescent="0.2">
      <c r="A423">
        <f t="shared" si="42"/>
        <v>84</v>
      </c>
      <c r="B423" t="s">
        <v>2</v>
      </c>
      <c r="C423" s="16" t="s">
        <v>1414</v>
      </c>
      <c r="D423" t="s">
        <v>8</v>
      </c>
      <c r="F423" t="b">
        <f t="shared" si="43"/>
        <v>0</v>
      </c>
    </row>
    <row r="424" spans="1:6" ht="16" x14ac:dyDescent="0.2">
      <c r="A424">
        <f t="shared" si="42"/>
        <v>84</v>
      </c>
      <c r="B424" t="s">
        <v>3</v>
      </c>
      <c r="C424" s="16" t="s">
        <v>1415</v>
      </c>
      <c r="D424" t="s">
        <v>7</v>
      </c>
      <c r="F424" t="b">
        <f t="shared" si="43"/>
        <v>0</v>
      </c>
    </row>
    <row r="425" spans="1:6" x14ac:dyDescent="0.2">
      <c r="A425">
        <f t="shared" ref="A425" si="44">A424+1</f>
        <v>85</v>
      </c>
      <c r="B425" s="22" t="s">
        <v>1416</v>
      </c>
      <c r="C425" s="22"/>
      <c r="D425" s="22"/>
      <c r="E425" s="22"/>
      <c r="F425" s="22"/>
    </row>
    <row r="426" spans="1:6" ht="16" x14ac:dyDescent="0.2">
      <c r="A426">
        <f t="shared" ref="A426:A430" si="45">A425</f>
        <v>85</v>
      </c>
      <c r="B426" t="s">
        <v>0</v>
      </c>
      <c r="C426" s="16" t="s">
        <v>1167</v>
      </c>
      <c r="D426" t="s">
        <v>7</v>
      </c>
      <c r="F426" t="b">
        <f t="shared" ref="F426:F430" si="46">D426=E426</f>
        <v>0</v>
      </c>
    </row>
    <row r="427" spans="1:6" ht="16" x14ac:dyDescent="0.2">
      <c r="A427">
        <f t="shared" si="45"/>
        <v>85</v>
      </c>
      <c r="B427" t="s">
        <v>1</v>
      </c>
      <c r="C427" s="16" t="s">
        <v>1168</v>
      </c>
      <c r="D427" t="s">
        <v>7</v>
      </c>
      <c r="F427" t="b">
        <f t="shared" si="46"/>
        <v>0</v>
      </c>
    </row>
    <row r="428" spans="1:6" ht="16" x14ac:dyDescent="0.2">
      <c r="A428">
        <f t="shared" si="45"/>
        <v>85</v>
      </c>
      <c r="B428" t="s">
        <v>2</v>
      </c>
      <c r="C428" s="16" t="s">
        <v>1169</v>
      </c>
      <c r="D428" t="s">
        <v>8</v>
      </c>
      <c r="F428" t="b">
        <f t="shared" si="46"/>
        <v>0</v>
      </c>
    </row>
    <row r="429" spans="1:6" ht="16" x14ac:dyDescent="0.2">
      <c r="A429">
        <f t="shared" si="45"/>
        <v>85</v>
      </c>
      <c r="B429" t="s">
        <v>3</v>
      </c>
      <c r="C429" s="16" t="s">
        <v>1170</v>
      </c>
      <c r="D429" t="s">
        <v>8</v>
      </c>
      <c r="F429" t="b">
        <f t="shared" si="46"/>
        <v>0</v>
      </c>
    </row>
    <row r="430" spans="1:6" ht="16" x14ac:dyDescent="0.2">
      <c r="A430">
        <f t="shared" si="45"/>
        <v>85</v>
      </c>
      <c r="B430" t="s">
        <v>6</v>
      </c>
      <c r="C430" s="16" t="s">
        <v>1417</v>
      </c>
      <c r="D430" t="s">
        <v>8</v>
      </c>
      <c r="F430" t="b">
        <f t="shared" si="46"/>
        <v>0</v>
      </c>
    </row>
    <row r="431" spans="1:6" ht="30.75" customHeight="1" x14ac:dyDescent="0.2">
      <c r="A431">
        <f t="shared" ref="A431" si="47">A429+1</f>
        <v>86</v>
      </c>
      <c r="B431" s="22" t="s">
        <v>1418</v>
      </c>
      <c r="C431" s="22"/>
      <c r="D431" s="22"/>
      <c r="E431" s="22"/>
      <c r="F431" s="22"/>
    </row>
    <row r="432" spans="1:6" ht="16" x14ac:dyDescent="0.2">
      <c r="A432">
        <f t="shared" ref="A432:A435" si="48">A431</f>
        <v>86</v>
      </c>
      <c r="B432" t="s">
        <v>0</v>
      </c>
      <c r="C432" s="16" t="s">
        <v>1419</v>
      </c>
      <c r="D432" t="s">
        <v>7</v>
      </c>
      <c r="F432" t="b">
        <f t="shared" ref="F432:F435" si="49">D432=E432</f>
        <v>0</v>
      </c>
    </row>
    <row r="433" spans="1:6" ht="16" x14ac:dyDescent="0.2">
      <c r="A433">
        <f t="shared" si="48"/>
        <v>86</v>
      </c>
      <c r="B433" t="s">
        <v>1</v>
      </c>
      <c r="C433" s="16" t="s">
        <v>1420</v>
      </c>
      <c r="D433" t="s">
        <v>8</v>
      </c>
      <c r="F433" t="b">
        <f t="shared" si="49"/>
        <v>0</v>
      </c>
    </row>
    <row r="434" spans="1:6" ht="16" x14ac:dyDescent="0.2">
      <c r="A434">
        <f t="shared" si="48"/>
        <v>86</v>
      </c>
      <c r="B434" t="s">
        <v>2</v>
      </c>
      <c r="C434" s="16" t="s">
        <v>1408</v>
      </c>
      <c r="D434" t="s">
        <v>7</v>
      </c>
      <c r="F434" t="b">
        <f t="shared" si="49"/>
        <v>0</v>
      </c>
    </row>
    <row r="435" spans="1:6" ht="16" x14ac:dyDescent="0.2">
      <c r="A435">
        <f t="shared" si="48"/>
        <v>86</v>
      </c>
      <c r="B435" t="s">
        <v>3</v>
      </c>
      <c r="C435" s="16" t="s">
        <v>1409</v>
      </c>
      <c r="D435" t="s">
        <v>7</v>
      </c>
      <c r="F435" t="b">
        <f t="shared" si="49"/>
        <v>0</v>
      </c>
    </row>
    <row r="436" spans="1:6" ht="45" customHeight="1" x14ac:dyDescent="0.2">
      <c r="A436">
        <f t="shared" ref="A436" si="50">A435+1</f>
        <v>87</v>
      </c>
      <c r="B436" s="22" t="s">
        <v>1421</v>
      </c>
      <c r="C436" s="22"/>
      <c r="D436" s="22"/>
      <c r="E436" s="22"/>
      <c r="F436" s="22"/>
    </row>
    <row r="437" spans="1:6" ht="16" x14ac:dyDescent="0.2">
      <c r="A437">
        <f t="shared" ref="A437:A440" si="51">A436</f>
        <v>87</v>
      </c>
      <c r="B437" t="s">
        <v>0</v>
      </c>
      <c r="C437" s="16" t="s">
        <v>1422</v>
      </c>
      <c r="D437" t="s">
        <v>7</v>
      </c>
      <c r="F437" t="b">
        <f t="shared" ref="F437:F440" si="52">D437=E437</f>
        <v>0</v>
      </c>
    </row>
    <row r="438" spans="1:6" ht="16" x14ac:dyDescent="0.2">
      <c r="A438">
        <f t="shared" si="51"/>
        <v>87</v>
      </c>
      <c r="B438" t="s">
        <v>1</v>
      </c>
      <c r="C438" s="16" t="s">
        <v>27</v>
      </c>
      <c r="D438" t="s">
        <v>8</v>
      </c>
      <c r="F438" t="b">
        <f t="shared" si="52"/>
        <v>0</v>
      </c>
    </row>
    <row r="439" spans="1:6" ht="16" x14ac:dyDescent="0.2">
      <c r="A439">
        <f t="shared" si="51"/>
        <v>87</v>
      </c>
      <c r="B439" t="s">
        <v>2</v>
      </c>
      <c r="C439" s="16" t="s">
        <v>1423</v>
      </c>
      <c r="D439" t="s">
        <v>7</v>
      </c>
      <c r="F439" t="b">
        <f t="shared" si="52"/>
        <v>0</v>
      </c>
    </row>
    <row r="440" spans="1:6" ht="16" x14ac:dyDescent="0.2">
      <c r="A440">
        <f t="shared" si="51"/>
        <v>87</v>
      </c>
      <c r="B440" t="s">
        <v>3</v>
      </c>
      <c r="C440" s="16" t="s">
        <v>1424</v>
      </c>
      <c r="D440" t="s">
        <v>7</v>
      </c>
      <c r="F440" t="b">
        <f t="shared" si="52"/>
        <v>0</v>
      </c>
    </row>
    <row r="441" spans="1:6" x14ac:dyDescent="0.2">
      <c r="A441">
        <f t="shared" ref="A441" si="53">A440+1</f>
        <v>88</v>
      </c>
      <c r="B441" s="22" t="s">
        <v>1425</v>
      </c>
      <c r="C441" s="22"/>
      <c r="D441" s="22"/>
      <c r="E441" s="22"/>
      <c r="F441" s="22"/>
    </row>
    <row r="442" spans="1:6" ht="16" x14ac:dyDescent="0.2">
      <c r="A442">
        <f t="shared" ref="A442:A445" si="54">A441</f>
        <v>88</v>
      </c>
      <c r="B442" t="s">
        <v>0</v>
      </c>
      <c r="C442" s="16" t="s">
        <v>1426</v>
      </c>
      <c r="D442" t="s">
        <v>8</v>
      </c>
      <c r="F442" t="b">
        <f t="shared" ref="F442:F445" si="55">D442=E442</f>
        <v>0</v>
      </c>
    </row>
    <row r="443" spans="1:6" ht="16" x14ac:dyDescent="0.2">
      <c r="A443">
        <f t="shared" si="54"/>
        <v>88</v>
      </c>
      <c r="B443" t="s">
        <v>1</v>
      </c>
      <c r="C443" s="16" t="s">
        <v>1427</v>
      </c>
      <c r="D443" t="s">
        <v>7</v>
      </c>
      <c r="F443" t="b">
        <f t="shared" si="55"/>
        <v>0</v>
      </c>
    </row>
    <row r="444" spans="1:6" ht="16" x14ac:dyDescent="0.2">
      <c r="A444">
        <f t="shared" si="54"/>
        <v>88</v>
      </c>
      <c r="B444" t="s">
        <v>2</v>
      </c>
      <c r="C444" s="16" t="s">
        <v>1185</v>
      </c>
      <c r="D444" t="s">
        <v>7</v>
      </c>
      <c r="F444" t="b">
        <f t="shared" si="55"/>
        <v>0</v>
      </c>
    </row>
    <row r="445" spans="1:6" ht="16" x14ac:dyDescent="0.2">
      <c r="A445">
        <f t="shared" si="54"/>
        <v>88</v>
      </c>
      <c r="B445" t="s">
        <v>3</v>
      </c>
      <c r="C445" s="16" t="s">
        <v>1340</v>
      </c>
      <c r="D445" t="s">
        <v>7</v>
      </c>
      <c r="F445" t="b">
        <f t="shared" si="55"/>
        <v>0</v>
      </c>
    </row>
    <row r="446" spans="1:6" ht="45.75" customHeight="1" x14ac:dyDescent="0.2">
      <c r="A446">
        <f t="shared" ref="A446" si="56">A445+1</f>
        <v>89</v>
      </c>
      <c r="B446" s="22" t="s">
        <v>1428</v>
      </c>
      <c r="C446" s="22"/>
      <c r="D446" s="22"/>
      <c r="E446" s="22"/>
      <c r="F446" s="22"/>
    </row>
    <row r="447" spans="1:6" ht="16" x14ac:dyDescent="0.2">
      <c r="A447">
        <f t="shared" ref="A447:A450" si="57">A446</f>
        <v>89</v>
      </c>
      <c r="B447" t="s">
        <v>0</v>
      </c>
      <c r="C447" s="16" t="s">
        <v>1187</v>
      </c>
      <c r="D447" t="s">
        <v>8</v>
      </c>
      <c r="F447" t="b">
        <f t="shared" ref="F447:F450" si="58">D447=E447</f>
        <v>0</v>
      </c>
    </row>
    <row r="448" spans="1:6" ht="16" x14ac:dyDescent="0.2">
      <c r="A448">
        <f t="shared" si="57"/>
        <v>89</v>
      </c>
      <c r="B448" t="s">
        <v>1</v>
      </c>
      <c r="C448" s="16" t="s">
        <v>1429</v>
      </c>
      <c r="D448" t="s">
        <v>7</v>
      </c>
      <c r="F448" t="b">
        <f t="shared" si="58"/>
        <v>0</v>
      </c>
    </row>
    <row r="449" spans="1:6" ht="16" x14ac:dyDescent="0.2">
      <c r="A449">
        <f t="shared" si="57"/>
        <v>89</v>
      </c>
      <c r="B449" t="s">
        <v>2</v>
      </c>
      <c r="C449" s="16" t="s">
        <v>760</v>
      </c>
      <c r="D449" t="s">
        <v>7</v>
      </c>
      <c r="F449" t="b">
        <f t="shared" si="58"/>
        <v>0</v>
      </c>
    </row>
    <row r="450" spans="1:6" ht="16" x14ac:dyDescent="0.2">
      <c r="A450">
        <f t="shared" si="57"/>
        <v>89</v>
      </c>
      <c r="B450" t="s">
        <v>3</v>
      </c>
      <c r="C450" s="16" t="s">
        <v>1189</v>
      </c>
      <c r="D450" t="s">
        <v>7</v>
      </c>
      <c r="F450" t="b">
        <f t="shared" si="58"/>
        <v>0</v>
      </c>
    </row>
    <row r="451" spans="1:6" ht="30.75" customHeight="1" x14ac:dyDescent="0.2">
      <c r="A451">
        <f t="shared" ref="A451" si="59">A450+1</f>
        <v>90</v>
      </c>
      <c r="B451" s="22" t="s">
        <v>1430</v>
      </c>
      <c r="C451" s="22"/>
      <c r="D451" s="22"/>
      <c r="E451" s="22"/>
      <c r="F451" s="22"/>
    </row>
    <row r="452" spans="1:6" ht="16" x14ac:dyDescent="0.2">
      <c r="A452">
        <f t="shared" ref="A452:A455" si="60">A451</f>
        <v>90</v>
      </c>
      <c r="B452" t="s">
        <v>0</v>
      </c>
      <c r="C452" s="16" t="s">
        <v>1431</v>
      </c>
      <c r="D452" t="s">
        <v>8</v>
      </c>
      <c r="F452" t="b">
        <f t="shared" ref="F452:F455" si="61">D452=E452</f>
        <v>0</v>
      </c>
    </row>
    <row r="453" spans="1:6" ht="16" x14ac:dyDescent="0.2">
      <c r="A453">
        <f t="shared" si="60"/>
        <v>90</v>
      </c>
      <c r="B453" t="s">
        <v>1</v>
      </c>
      <c r="C453" s="16" t="s">
        <v>1432</v>
      </c>
      <c r="D453" t="s">
        <v>7</v>
      </c>
      <c r="F453" t="b">
        <f t="shared" si="61"/>
        <v>0</v>
      </c>
    </row>
    <row r="454" spans="1:6" ht="16" x14ac:dyDescent="0.2">
      <c r="A454">
        <f t="shared" si="60"/>
        <v>90</v>
      </c>
      <c r="B454" t="s">
        <v>2</v>
      </c>
      <c r="C454" s="16" t="s">
        <v>1433</v>
      </c>
      <c r="D454" t="s">
        <v>7</v>
      </c>
      <c r="F454" t="b">
        <f t="shared" si="61"/>
        <v>0</v>
      </c>
    </row>
    <row r="455" spans="1:6" ht="16" x14ac:dyDescent="0.2">
      <c r="A455">
        <f t="shared" si="60"/>
        <v>90</v>
      </c>
      <c r="B455" t="s">
        <v>3</v>
      </c>
      <c r="C455" s="16" t="s">
        <v>1434</v>
      </c>
      <c r="D455" t="s">
        <v>7</v>
      </c>
      <c r="F455" t="b">
        <f t="shared" si="61"/>
        <v>0</v>
      </c>
    </row>
    <row r="456" spans="1:6" ht="29.25" customHeight="1" x14ac:dyDescent="0.2">
      <c r="A456">
        <f t="shared" ref="A456" si="62">A455+1</f>
        <v>91</v>
      </c>
      <c r="B456" s="22" t="s">
        <v>1435</v>
      </c>
      <c r="C456" s="22"/>
      <c r="D456" s="22"/>
      <c r="E456" s="22"/>
      <c r="F456" s="22"/>
    </row>
    <row r="457" spans="1:6" ht="16" x14ac:dyDescent="0.2">
      <c r="A457">
        <f t="shared" ref="A457:A460" si="63">A456</f>
        <v>91</v>
      </c>
      <c r="B457" t="s">
        <v>0</v>
      </c>
      <c r="C457" s="16" t="s">
        <v>1436</v>
      </c>
      <c r="D457" t="s">
        <v>8</v>
      </c>
      <c r="F457" t="b">
        <f t="shared" ref="F457:F460" si="64">D457=E457</f>
        <v>0</v>
      </c>
    </row>
    <row r="458" spans="1:6" ht="16" x14ac:dyDescent="0.2">
      <c r="A458">
        <f t="shared" si="63"/>
        <v>91</v>
      </c>
      <c r="B458" t="s">
        <v>1</v>
      </c>
      <c r="C458" s="16" t="s">
        <v>1437</v>
      </c>
      <c r="D458" t="s">
        <v>7</v>
      </c>
      <c r="F458" t="b">
        <f t="shared" si="64"/>
        <v>0</v>
      </c>
    </row>
    <row r="459" spans="1:6" ht="16" x14ac:dyDescent="0.2">
      <c r="A459">
        <f t="shared" si="63"/>
        <v>91</v>
      </c>
      <c r="B459" t="s">
        <v>2</v>
      </c>
      <c r="C459" s="16" t="s">
        <v>1364</v>
      </c>
      <c r="D459" t="s">
        <v>7</v>
      </c>
      <c r="F459" t="b">
        <f t="shared" si="64"/>
        <v>0</v>
      </c>
    </row>
    <row r="460" spans="1:6" ht="16" x14ac:dyDescent="0.2">
      <c r="A460">
        <f t="shared" si="63"/>
        <v>91</v>
      </c>
      <c r="B460" t="s">
        <v>3</v>
      </c>
      <c r="C460" s="16" t="s">
        <v>1438</v>
      </c>
      <c r="D460" t="s">
        <v>7</v>
      </c>
      <c r="F460" t="b">
        <f t="shared" si="64"/>
        <v>0</v>
      </c>
    </row>
    <row r="461" spans="1:6" ht="64.5" customHeight="1" x14ac:dyDescent="0.2">
      <c r="A461">
        <f t="shared" ref="A461" si="65">A460+1</f>
        <v>92</v>
      </c>
      <c r="B461" s="22" t="s">
        <v>1439</v>
      </c>
      <c r="C461" s="22"/>
      <c r="D461" s="22"/>
      <c r="E461" s="22"/>
      <c r="F461" s="22"/>
    </row>
    <row r="462" spans="1:6" ht="16" x14ac:dyDescent="0.2">
      <c r="A462">
        <f t="shared" ref="A462:A465" si="66">A461</f>
        <v>92</v>
      </c>
      <c r="B462" t="s">
        <v>0</v>
      </c>
      <c r="C462" s="16" t="s">
        <v>1440</v>
      </c>
      <c r="D462" t="s">
        <v>7</v>
      </c>
      <c r="F462" t="b">
        <f t="shared" ref="F462:F465" si="67">D462=E462</f>
        <v>0</v>
      </c>
    </row>
    <row r="463" spans="1:6" ht="16" x14ac:dyDescent="0.2">
      <c r="A463">
        <f t="shared" si="66"/>
        <v>92</v>
      </c>
      <c r="B463" t="s">
        <v>1</v>
      </c>
      <c r="C463" s="16" t="s">
        <v>1441</v>
      </c>
      <c r="D463" t="s">
        <v>8</v>
      </c>
      <c r="F463" t="b">
        <f t="shared" si="67"/>
        <v>0</v>
      </c>
    </row>
    <row r="464" spans="1:6" ht="16" x14ac:dyDescent="0.2">
      <c r="A464">
        <f t="shared" si="66"/>
        <v>92</v>
      </c>
      <c r="B464" t="s">
        <v>2</v>
      </c>
      <c r="C464" s="16" t="s">
        <v>1442</v>
      </c>
      <c r="D464" t="s">
        <v>7</v>
      </c>
      <c r="F464" t="b">
        <f t="shared" si="67"/>
        <v>0</v>
      </c>
    </row>
    <row r="465" spans="1:6" ht="16" x14ac:dyDescent="0.2">
      <c r="A465">
        <f t="shared" si="66"/>
        <v>92</v>
      </c>
      <c r="B465" t="s">
        <v>3</v>
      </c>
      <c r="C465" s="16" t="s">
        <v>1443</v>
      </c>
      <c r="D465" t="s">
        <v>7</v>
      </c>
      <c r="F465" t="b">
        <f t="shared" si="67"/>
        <v>0</v>
      </c>
    </row>
    <row r="466" spans="1:6" ht="28.5" customHeight="1" x14ac:dyDescent="0.2">
      <c r="A466">
        <f t="shared" ref="A466" si="68">A465+1</f>
        <v>93</v>
      </c>
      <c r="B466" s="22" t="s">
        <v>1444</v>
      </c>
      <c r="C466" s="22"/>
      <c r="D466" s="22"/>
      <c r="E466" s="22"/>
      <c r="F466" s="22"/>
    </row>
    <row r="467" spans="1:6" ht="16" x14ac:dyDescent="0.2">
      <c r="A467">
        <f t="shared" ref="A467:A470" si="69">A466</f>
        <v>93</v>
      </c>
      <c r="B467" t="s">
        <v>0</v>
      </c>
      <c r="C467" s="16" t="s">
        <v>1445</v>
      </c>
      <c r="D467" t="s">
        <v>7</v>
      </c>
      <c r="F467" t="b">
        <f t="shared" ref="F467:F470" si="70">D467=E467</f>
        <v>0</v>
      </c>
    </row>
    <row r="468" spans="1:6" ht="16" x14ac:dyDescent="0.2">
      <c r="A468">
        <f t="shared" si="69"/>
        <v>93</v>
      </c>
      <c r="B468" t="s">
        <v>1</v>
      </c>
      <c r="C468" s="16" t="s">
        <v>1446</v>
      </c>
      <c r="D468" t="s">
        <v>8</v>
      </c>
      <c r="E468" t="s">
        <v>8</v>
      </c>
      <c r="F468" t="b">
        <f t="shared" si="70"/>
        <v>1</v>
      </c>
    </row>
    <row r="469" spans="1:6" ht="32" x14ac:dyDescent="0.2">
      <c r="A469">
        <f t="shared" si="69"/>
        <v>93</v>
      </c>
      <c r="B469" t="s">
        <v>2</v>
      </c>
      <c r="C469" s="16" t="s">
        <v>1447</v>
      </c>
      <c r="D469" t="s">
        <v>7</v>
      </c>
      <c r="F469" t="b">
        <f t="shared" si="70"/>
        <v>0</v>
      </c>
    </row>
    <row r="470" spans="1:6" ht="16" x14ac:dyDescent="0.2">
      <c r="A470">
        <f t="shared" si="69"/>
        <v>93</v>
      </c>
      <c r="B470" t="s">
        <v>3</v>
      </c>
      <c r="C470" s="16" t="s">
        <v>1448</v>
      </c>
      <c r="D470" t="s">
        <v>7</v>
      </c>
      <c r="F470" t="b">
        <f t="shared" si="70"/>
        <v>0</v>
      </c>
    </row>
    <row r="471" spans="1:6" ht="46.5" customHeight="1" x14ac:dyDescent="0.2">
      <c r="A471">
        <f t="shared" ref="A471" si="71">A470+1</f>
        <v>94</v>
      </c>
      <c r="B471" s="22" t="s">
        <v>1449</v>
      </c>
      <c r="C471" s="22"/>
      <c r="D471" s="22"/>
      <c r="E471" s="22"/>
      <c r="F471" s="22"/>
    </row>
    <row r="472" spans="1:6" ht="16" x14ac:dyDescent="0.2">
      <c r="A472">
        <f t="shared" ref="A472:A475" si="72">A471</f>
        <v>94</v>
      </c>
      <c r="B472" t="s">
        <v>0</v>
      </c>
      <c r="C472" s="16" t="s">
        <v>1208</v>
      </c>
      <c r="D472" t="s">
        <v>7</v>
      </c>
      <c r="F472" t="b">
        <f t="shared" ref="F472:F475" si="73">D472=E472</f>
        <v>0</v>
      </c>
    </row>
    <row r="473" spans="1:6" ht="16" x14ac:dyDescent="0.2">
      <c r="A473">
        <f t="shared" si="72"/>
        <v>94</v>
      </c>
      <c r="B473" t="s">
        <v>1</v>
      </c>
      <c r="C473" s="16" t="s">
        <v>1209</v>
      </c>
      <c r="D473" t="s">
        <v>7</v>
      </c>
      <c r="F473" t="b">
        <f t="shared" si="73"/>
        <v>0</v>
      </c>
    </row>
    <row r="474" spans="1:6" ht="16" x14ac:dyDescent="0.2">
      <c r="A474">
        <f t="shared" si="72"/>
        <v>94</v>
      </c>
      <c r="B474" t="s">
        <v>2</v>
      </c>
      <c r="C474" s="16" t="s">
        <v>1099</v>
      </c>
      <c r="D474" t="s">
        <v>8</v>
      </c>
      <c r="F474" t="b">
        <f t="shared" si="73"/>
        <v>0</v>
      </c>
    </row>
    <row r="475" spans="1:6" ht="16" x14ac:dyDescent="0.2">
      <c r="A475">
        <f t="shared" si="72"/>
        <v>94</v>
      </c>
      <c r="B475" t="s">
        <v>3</v>
      </c>
      <c r="C475" s="16" t="s">
        <v>1093</v>
      </c>
      <c r="D475" t="s">
        <v>7</v>
      </c>
      <c r="F475" t="b">
        <f t="shared" si="73"/>
        <v>0</v>
      </c>
    </row>
    <row r="476" spans="1:6" x14ac:dyDescent="0.2">
      <c r="A476">
        <f t="shared" ref="A476" si="74">A475+1</f>
        <v>95</v>
      </c>
      <c r="B476" s="22" t="s">
        <v>1210</v>
      </c>
      <c r="C476" s="22"/>
      <c r="D476" s="22"/>
      <c r="E476" s="22"/>
      <c r="F476" s="22"/>
    </row>
    <row r="477" spans="1:6" ht="16" x14ac:dyDescent="0.2">
      <c r="A477">
        <f t="shared" ref="A477:A480" si="75">A476</f>
        <v>95</v>
      </c>
      <c r="B477" t="s">
        <v>0</v>
      </c>
      <c r="C477" s="16" t="s">
        <v>1212</v>
      </c>
      <c r="D477" t="s">
        <v>8</v>
      </c>
      <c r="F477" t="b">
        <f t="shared" ref="F477:F480" si="76">D477=E477</f>
        <v>0</v>
      </c>
    </row>
    <row r="478" spans="1:6" ht="16" x14ac:dyDescent="0.2">
      <c r="A478">
        <f t="shared" si="75"/>
        <v>95</v>
      </c>
      <c r="B478" t="s">
        <v>1</v>
      </c>
      <c r="C478" s="16" t="s">
        <v>1211</v>
      </c>
      <c r="D478" t="s">
        <v>7</v>
      </c>
      <c r="F478" t="b">
        <f t="shared" si="76"/>
        <v>0</v>
      </c>
    </row>
    <row r="479" spans="1:6" ht="16" x14ac:dyDescent="0.2">
      <c r="A479">
        <f t="shared" si="75"/>
        <v>95</v>
      </c>
      <c r="B479" t="s">
        <v>2</v>
      </c>
      <c r="C479" s="16" t="s">
        <v>1213</v>
      </c>
      <c r="D479" t="s">
        <v>7</v>
      </c>
      <c r="F479" t="b">
        <f t="shared" si="76"/>
        <v>0</v>
      </c>
    </row>
    <row r="480" spans="1:6" ht="16" x14ac:dyDescent="0.2">
      <c r="A480">
        <f t="shared" si="75"/>
        <v>95</v>
      </c>
      <c r="B480" t="s">
        <v>3</v>
      </c>
      <c r="C480" s="16" t="s">
        <v>1214</v>
      </c>
      <c r="D480" t="s">
        <v>7</v>
      </c>
      <c r="F480" t="b">
        <f t="shared" si="76"/>
        <v>0</v>
      </c>
    </row>
    <row r="481" spans="1:6" x14ac:dyDescent="0.2">
      <c r="A481">
        <f t="shared" ref="A481" si="77">A480+1</f>
        <v>96</v>
      </c>
      <c r="B481" s="22" t="s">
        <v>1450</v>
      </c>
      <c r="C481" s="22"/>
      <c r="D481" s="22"/>
      <c r="E481" s="22"/>
      <c r="F481" s="22"/>
    </row>
    <row r="482" spans="1:6" ht="16" x14ac:dyDescent="0.2">
      <c r="A482">
        <f t="shared" ref="A482:A485" si="78">A481</f>
        <v>96</v>
      </c>
      <c r="B482" t="s">
        <v>0</v>
      </c>
      <c r="C482" s="16" t="s">
        <v>1451</v>
      </c>
      <c r="D482" t="s">
        <v>7</v>
      </c>
      <c r="F482" t="b">
        <f t="shared" ref="F482:F485" si="79">D482=E482</f>
        <v>0</v>
      </c>
    </row>
    <row r="483" spans="1:6" ht="16" x14ac:dyDescent="0.2">
      <c r="A483">
        <f t="shared" si="78"/>
        <v>96</v>
      </c>
      <c r="B483" t="s">
        <v>1</v>
      </c>
      <c r="C483" s="16" t="s">
        <v>1217</v>
      </c>
      <c r="D483" t="s">
        <v>8</v>
      </c>
      <c r="F483" t="b">
        <f t="shared" si="79"/>
        <v>0</v>
      </c>
    </row>
    <row r="484" spans="1:6" ht="16" x14ac:dyDescent="0.2">
      <c r="A484">
        <f t="shared" si="78"/>
        <v>96</v>
      </c>
      <c r="B484" t="s">
        <v>2</v>
      </c>
      <c r="C484" s="16" t="s">
        <v>1218</v>
      </c>
      <c r="D484" t="s">
        <v>7</v>
      </c>
      <c r="F484" t="b">
        <f t="shared" si="79"/>
        <v>0</v>
      </c>
    </row>
    <row r="485" spans="1:6" ht="16" x14ac:dyDescent="0.2">
      <c r="A485">
        <f t="shared" si="78"/>
        <v>96</v>
      </c>
      <c r="B485" t="s">
        <v>3</v>
      </c>
      <c r="C485" s="16" t="s">
        <v>1093</v>
      </c>
      <c r="D485" t="s">
        <v>7</v>
      </c>
      <c r="F485" t="b">
        <f t="shared" si="79"/>
        <v>0</v>
      </c>
    </row>
    <row r="486" spans="1:6" ht="45" customHeight="1" x14ac:dyDescent="0.2">
      <c r="A486">
        <f t="shared" ref="A486" si="80">A485+1</f>
        <v>97</v>
      </c>
      <c r="B486" s="22" t="s">
        <v>1452</v>
      </c>
      <c r="C486" s="22"/>
      <c r="D486" s="22"/>
      <c r="E486" s="22"/>
      <c r="F486" s="22"/>
    </row>
    <row r="487" spans="1:6" ht="16" x14ac:dyDescent="0.2">
      <c r="A487">
        <f t="shared" ref="A487:A490" si="81">A486</f>
        <v>97</v>
      </c>
      <c r="B487" t="s">
        <v>0</v>
      </c>
      <c r="C487" s="16" t="s">
        <v>1220</v>
      </c>
      <c r="D487" t="s">
        <v>8</v>
      </c>
      <c r="F487" t="b">
        <f t="shared" ref="F487:F490" si="82">D487=E487</f>
        <v>0</v>
      </c>
    </row>
    <row r="488" spans="1:6" ht="16" x14ac:dyDescent="0.2">
      <c r="A488">
        <f t="shared" si="81"/>
        <v>97</v>
      </c>
      <c r="B488" t="s">
        <v>1</v>
      </c>
      <c r="C488" s="16" t="s">
        <v>1422</v>
      </c>
      <c r="D488" t="s">
        <v>7</v>
      </c>
      <c r="F488" t="b">
        <f t="shared" si="82"/>
        <v>0</v>
      </c>
    </row>
    <row r="489" spans="1:6" ht="16" x14ac:dyDescent="0.2">
      <c r="A489">
        <f t="shared" si="81"/>
        <v>97</v>
      </c>
      <c r="B489" t="s">
        <v>2</v>
      </c>
      <c r="C489" s="16" t="s">
        <v>1222</v>
      </c>
      <c r="D489" t="s">
        <v>7</v>
      </c>
      <c r="F489" t="b">
        <f t="shared" si="82"/>
        <v>0</v>
      </c>
    </row>
    <row r="490" spans="1:6" ht="16" x14ac:dyDescent="0.2">
      <c r="A490">
        <f t="shared" si="81"/>
        <v>97</v>
      </c>
      <c r="B490" t="s">
        <v>3</v>
      </c>
      <c r="C490" s="16" t="s">
        <v>1223</v>
      </c>
      <c r="D490" t="s">
        <v>7</v>
      </c>
      <c r="F490" t="b">
        <f t="shared" si="82"/>
        <v>0</v>
      </c>
    </row>
    <row r="491" spans="1:6" ht="33.75" customHeight="1" x14ac:dyDescent="0.2">
      <c r="A491">
        <f t="shared" ref="A491" si="83">A490+1</f>
        <v>98</v>
      </c>
      <c r="B491" s="22" t="s">
        <v>1453</v>
      </c>
      <c r="C491" s="22"/>
      <c r="D491" s="22"/>
      <c r="E491" s="22"/>
      <c r="F491" s="22"/>
    </row>
    <row r="492" spans="1:6" ht="16" x14ac:dyDescent="0.2">
      <c r="A492">
        <f t="shared" ref="A492:A495" si="84">A491</f>
        <v>98</v>
      </c>
      <c r="B492" t="s">
        <v>0</v>
      </c>
      <c r="C492" s="16" t="s">
        <v>1364</v>
      </c>
      <c r="D492" t="s">
        <v>7</v>
      </c>
      <c r="F492" t="b">
        <f t="shared" ref="F492:F495" si="85">D492=E492</f>
        <v>0</v>
      </c>
    </row>
    <row r="493" spans="1:6" ht="16" x14ac:dyDescent="0.2">
      <c r="A493">
        <f t="shared" si="84"/>
        <v>98</v>
      </c>
      <c r="B493" t="s">
        <v>1</v>
      </c>
      <c r="C493" s="16" t="s">
        <v>1454</v>
      </c>
      <c r="D493" t="s">
        <v>7</v>
      </c>
      <c r="F493" t="b">
        <f t="shared" si="85"/>
        <v>0</v>
      </c>
    </row>
    <row r="494" spans="1:6" ht="16" x14ac:dyDescent="0.2">
      <c r="A494">
        <f t="shared" si="84"/>
        <v>98</v>
      </c>
      <c r="B494" t="s">
        <v>2</v>
      </c>
      <c r="C494" s="16" t="s">
        <v>1455</v>
      </c>
      <c r="D494" t="s">
        <v>8</v>
      </c>
      <c r="F494" t="b">
        <f t="shared" si="85"/>
        <v>0</v>
      </c>
    </row>
    <row r="495" spans="1:6" ht="16" x14ac:dyDescent="0.2">
      <c r="A495">
        <f t="shared" si="84"/>
        <v>98</v>
      </c>
      <c r="B495" t="s">
        <v>3</v>
      </c>
      <c r="C495" s="16" t="s">
        <v>1456</v>
      </c>
      <c r="D495" t="s">
        <v>7</v>
      </c>
      <c r="F495" t="b">
        <f t="shared" si="85"/>
        <v>0</v>
      </c>
    </row>
    <row r="496" spans="1:6" ht="29.25" customHeight="1" x14ac:dyDescent="0.2">
      <c r="A496">
        <f t="shared" ref="A496" si="86">A495+1</f>
        <v>99</v>
      </c>
      <c r="B496" s="22" t="s">
        <v>1457</v>
      </c>
      <c r="C496" s="22"/>
      <c r="D496" s="22"/>
      <c r="E496" s="22"/>
      <c r="F496" s="22"/>
    </row>
    <row r="497" spans="1:6" ht="16" x14ac:dyDescent="0.2">
      <c r="A497">
        <f t="shared" ref="A497:A500" si="87">A496</f>
        <v>99</v>
      </c>
      <c r="B497" t="s">
        <v>0</v>
      </c>
      <c r="C497" s="16" t="s">
        <v>28</v>
      </c>
      <c r="D497" t="s">
        <v>7</v>
      </c>
      <c r="F497" t="b">
        <f t="shared" ref="F497:F500" si="88">D497=E497</f>
        <v>0</v>
      </c>
    </row>
    <row r="498" spans="1:6" ht="16" x14ac:dyDescent="0.2">
      <c r="A498">
        <f t="shared" si="87"/>
        <v>99</v>
      </c>
      <c r="B498" t="s">
        <v>1</v>
      </c>
      <c r="C498" s="16" t="s">
        <v>1458</v>
      </c>
      <c r="D498" t="s">
        <v>8</v>
      </c>
      <c r="F498" t="b">
        <f t="shared" si="88"/>
        <v>0</v>
      </c>
    </row>
    <row r="499" spans="1:6" ht="16" x14ac:dyDescent="0.2">
      <c r="A499">
        <f t="shared" si="87"/>
        <v>99</v>
      </c>
      <c r="B499" t="s">
        <v>2</v>
      </c>
      <c r="C499" s="16" t="s">
        <v>29</v>
      </c>
      <c r="D499" t="s">
        <v>7</v>
      </c>
      <c r="F499" t="b">
        <f t="shared" si="88"/>
        <v>0</v>
      </c>
    </row>
    <row r="500" spans="1:6" ht="16" x14ac:dyDescent="0.2">
      <c r="A500">
        <f t="shared" si="87"/>
        <v>99</v>
      </c>
      <c r="B500" t="s">
        <v>3</v>
      </c>
      <c r="C500" s="16" t="s">
        <v>30</v>
      </c>
      <c r="D500" t="s">
        <v>7</v>
      </c>
      <c r="F500" t="b">
        <f t="shared" si="88"/>
        <v>0</v>
      </c>
    </row>
    <row r="501" spans="1:6" ht="44.25" customHeight="1" x14ac:dyDescent="0.2">
      <c r="A501">
        <f t="shared" ref="A501" si="89">A500+1</f>
        <v>100</v>
      </c>
      <c r="B501" s="22" t="s">
        <v>1459</v>
      </c>
      <c r="C501" s="22"/>
      <c r="D501" s="22"/>
      <c r="E501" s="22"/>
      <c r="F501" s="22"/>
    </row>
    <row r="502" spans="1:6" ht="16" x14ac:dyDescent="0.2">
      <c r="A502">
        <f t="shared" ref="A502:A505" si="90">A501</f>
        <v>100</v>
      </c>
      <c r="B502" t="s">
        <v>0</v>
      </c>
      <c r="C502" s="16" t="s">
        <v>1241</v>
      </c>
      <c r="D502" t="s">
        <v>7</v>
      </c>
      <c r="F502" t="b">
        <f t="shared" ref="F502:F505" si="91">D502=E502</f>
        <v>0</v>
      </c>
    </row>
    <row r="503" spans="1:6" ht="16" x14ac:dyDescent="0.2">
      <c r="A503">
        <f t="shared" si="90"/>
        <v>100</v>
      </c>
      <c r="B503" t="s">
        <v>1</v>
      </c>
      <c r="C503" s="16" t="s">
        <v>1093</v>
      </c>
      <c r="D503" t="s">
        <v>8</v>
      </c>
      <c r="F503" t="b">
        <f t="shared" si="91"/>
        <v>0</v>
      </c>
    </row>
    <row r="504" spans="1:6" ht="16" x14ac:dyDescent="0.2">
      <c r="A504">
        <f t="shared" si="90"/>
        <v>100</v>
      </c>
      <c r="B504" t="s">
        <v>2</v>
      </c>
      <c r="C504" s="16" t="s">
        <v>1242</v>
      </c>
      <c r="D504" t="s">
        <v>7</v>
      </c>
      <c r="F504" t="b">
        <f t="shared" si="91"/>
        <v>0</v>
      </c>
    </row>
    <row r="505" spans="1:6" ht="16" x14ac:dyDescent="0.2">
      <c r="A505">
        <f t="shared" si="90"/>
        <v>100</v>
      </c>
      <c r="B505" t="s">
        <v>3</v>
      </c>
      <c r="C505" s="16" t="s">
        <v>1243</v>
      </c>
      <c r="D505" t="s">
        <v>7</v>
      </c>
      <c r="F505" t="b">
        <f t="shared" si="91"/>
        <v>0</v>
      </c>
    </row>
    <row r="506" spans="1:6" ht="30.75" customHeight="1" x14ac:dyDescent="0.2">
      <c r="A506">
        <f t="shared" ref="A506" si="92">A505+1</f>
        <v>101</v>
      </c>
      <c r="B506" s="22" t="s">
        <v>1460</v>
      </c>
      <c r="C506" s="22"/>
      <c r="D506" s="22"/>
      <c r="E506" s="22"/>
      <c r="F506" s="22"/>
    </row>
    <row r="507" spans="1:6" ht="16" x14ac:dyDescent="0.2">
      <c r="A507">
        <f t="shared" ref="A507:A510" si="93">A506</f>
        <v>101</v>
      </c>
      <c r="B507" t="s">
        <v>0</v>
      </c>
      <c r="C507" s="16" t="s">
        <v>1461</v>
      </c>
      <c r="D507" t="s">
        <v>8</v>
      </c>
      <c r="F507" t="b">
        <f t="shared" ref="F507:F510" si="94">D507=E507</f>
        <v>0</v>
      </c>
    </row>
    <row r="508" spans="1:6" ht="16" x14ac:dyDescent="0.2">
      <c r="A508">
        <f t="shared" si="93"/>
        <v>101</v>
      </c>
      <c r="B508" t="s">
        <v>1</v>
      </c>
      <c r="C508" s="16" t="s">
        <v>1462</v>
      </c>
      <c r="D508" t="s">
        <v>7</v>
      </c>
      <c r="F508" t="b">
        <f t="shared" si="94"/>
        <v>0</v>
      </c>
    </row>
    <row r="509" spans="1:6" ht="16" x14ac:dyDescent="0.2">
      <c r="A509">
        <f t="shared" si="93"/>
        <v>101</v>
      </c>
      <c r="B509" t="s">
        <v>2</v>
      </c>
      <c r="C509" s="16" t="s">
        <v>1463</v>
      </c>
      <c r="D509" t="s">
        <v>7</v>
      </c>
      <c r="F509" t="b">
        <f t="shared" si="94"/>
        <v>0</v>
      </c>
    </row>
    <row r="510" spans="1:6" ht="16" x14ac:dyDescent="0.2">
      <c r="A510">
        <f t="shared" si="93"/>
        <v>101</v>
      </c>
      <c r="B510" t="s">
        <v>3</v>
      </c>
      <c r="C510" s="16" t="s">
        <v>1464</v>
      </c>
      <c r="D510" t="s">
        <v>7</v>
      </c>
      <c r="F510" t="b">
        <f t="shared" si="94"/>
        <v>0</v>
      </c>
    </row>
    <row r="511" spans="1:6" ht="30" customHeight="1" x14ac:dyDescent="0.2">
      <c r="A511">
        <f t="shared" ref="A511" si="95">A510+1</f>
        <v>102</v>
      </c>
      <c r="B511" s="22" t="s">
        <v>1465</v>
      </c>
      <c r="C511" s="22"/>
      <c r="D511" s="22"/>
      <c r="E511" s="22"/>
      <c r="F511" s="22"/>
    </row>
    <row r="512" spans="1:6" ht="16" x14ac:dyDescent="0.2">
      <c r="A512">
        <f t="shared" ref="A512:A515" si="96">A511</f>
        <v>102</v>
      </c>
      <c r="B512" t="s">
        <v>0</v>
      </c>
      <c r="C512" s="16" t="s">
        <v>1251</v>
      </c>
      <c r="D512" t="s">
        <v>7</v>
      </c>
      <c r="F512" t="b">
        <f t="shared" ref="F512:F515" si="97">D512=E512</f>
        <v>0</v>
      </c>
    </row>
    <row r="513" spans="1:6" ht="16" x14ac:dyDescent="0.2">
      <c r="A513">
        <f t="shared" si="96"/>
        <v>102</v>
      </c>
      <c r="B513" t="s">
        <v>1</v>
      </c>
      <c r="C513" s="16" t="s">
        <v>1252</v>
      </c>
      <c r="D513" t="s">
        <v>7</v>
      </c>
      <c r="F513" t="b">
        <f t="shared" si="97"/>
        <v>0</v>
      </c>
    </row>
    <row r="514" spans="1:6" ht="16" x14ac:dyDescent="0.2">
      <c r="A514">
        <f t="shared" si="96"/>
        <v>102</v>
      </c>
      <c r="B514" t="s">
        <v>2</v>
      </c>
      <c r="C514" s="16" t="s">
        <v>1253</v>
      </c>
      <c r="D514" t="s">
        <v>8</v>
      </c>
      <c r="F514" t="b">
        <f t="shared" si="97"/>
        <v>0</v>
      </c>
    </row>
    <row r="515" spans="1:6" ht="16" x14ac:dyDescent="0.2">
      <c r="A515">
        <f t="shared" si="96"/>
        <v>102</v>
      </c>
      <c r="B515" t="s">
        <v>3</v>
      </c>
      <c r="C515" s="16" t="s">
        <v>1254</v>
      </c>
      <c r="D515" t="s">
        <v>7</v>
      </c>
      <c r="F515" t="b">
        <f t="shared" si="97"/>
        <v>0</v>
      </c>
    </row>
    <row r="516" spans="1:6" ht="47.25" customHeight="1" x14ac:dyDescent="0.2">
      <c r="A516">
        <f t="shared" ref="A516" si="98">A515+1</f>
        <v>103</v>
      </c>
      <c r="B516" s="22" t="s">
        <v>1466</v>
      </c>
      <c r="C516" s="22"/>
      <c r="D516" s="22"/>
      <c r="E516" s="22"/>
      <c r="F516" s="22"/>
    </row>
    <row r="517" spans="1:6" ht="16" x14ac:dyDescent="0.2">
      <c r="A517">
        <f t="shared" ref="A517:A520" si="99">A516</f>
        <v>103</v>
      </c>
      <c r="B517" t="s">
        <v>0</v>
      </c>
      <c r="C517" s="16" t="s">
        <v>1467</v>
      </c>
      <c r="D517" t="s">
        <v>8</v>
      </c>
      <c r="F517" t="b">
        <f t="shared" ref="F517:F520" si="100">D517=E517</f>
        <v>0</v>
      </c>
    </row>
    <row r="518" spans="1:6" ht="16" x14ac:dyDescent="0.2">
      <c r="A518">
        <f t="shared" si="99"/>
        <v>103</v>
      </c>
      <c r="B518" t="s">
        <v>1</v>
      </c>
      <c r="C518" s="16" t="s">
        <v>1468</v>
      </c>
      <c r="D518" t="s">
        <v>7</v>
      </c>
      <c r="F518" t="b">
        <f t="shared" si="100"/>
        <v>0</v>
      </c>
    </row>
    <row r="519" spans="1:6" ht="16" x14ac:dyDescent="0.2">
      <c r="A519">
        <f t="shared" si="99"/>
        <v>103</v>
      </c>
      <c r="B519" t="s">
        <v>2</v>
      </c>
      <c r="C519" s="16" t="s">
        <v>1469</v>
      </c>
      <c r="D519" t="s">
        <v>8</v>
      </c>
      <c r="F519" t="b">
        <f t="shared" si="100"/>
        <v>0</v>
      </c>
    </row>
    <row r="520" spans="1:6" ht="16" x14ac:dyDescent="0.2">
      <c r="A520">
        <f t="shared" si="99"/>
        <v>103</v>
      </c>
      <c r="B520" t="s">
        <v>3</v>
      </c>
      <c r="C520" s="16" t="s">
        <v>1259</v>
      </c>
      <c r="D520" t="s">
        <v>7</v>
      </c>
      <c r="F520" t="b">
        <f t="shared" si="100"/>
        <v>0</v>
      </c>
    </row>
    <row r="521" spans="1:6" ht="44.25" customHeight="1" x14ac:dyDescent="0.2">
      <c r="A521">
        <f t="shared" ref="A521" si="101">A520+1</f>
        <v>104</v>
      </c>
      <c r="B521" s="22" t="s">
        <v>1470</v>
      </c>
      <c r="C521" s="22"/>
      <c r="D521" s="22"/>
      <c r="E521" s="22"/>
      <c r="F521" s="22"/>
    </row>
    <row r="522" spans="1:6" ht="16" x14ac:dyDescent="0.2">
      <c r="A522">
        <f t="shared" ref="A522:A525" si="102">A521</f>
        <v>104</v>
      </c>
      <c r="B522" t="s">
        <v>0</v>
      </c>
      <c r="C522" s="16" t="s">
        <v>1261</v>
      </c>
      <c r="F522" t="b">
        <f t="shared" ref="F522:F525" si="103">D522=E522</f>
        <v>1</v>
      </c>
    </row>
    <row r="523" spans="1:6" ht="16" x14ac:dyDescent="0.2">
      <c r="A523">
        <f t="shared" si="102"/>
        <v>104</v>
      </c>
      <c r="B523" t="s">
        <v>1</v>
      </c>
      <c r="C523" s="16" t="s">
        <v>10</v>
      </c>
      <c r="F523" t="b">
        <f t="shared" si="103"/>
        <v>1</v>
      </c>
    </row>
    <row r="524" spans="1:6" ht="16" x14ac:dyDescent="0.2">
      <c r="A524">
        <f t="shared" si="102"/>
        <v>104</v>
      </c>
      <c r="B524" t="s">
        <v>2</v>
      </c>
      <c r="C524" s="16" t="s">
        <v>1262</v>
      </c>
      <c r="F524" t="b">
        <f t="shared" si="103"/>
        <v>1</v>
      </c>
    </row>
    <row r="525" spans="1:6" ht="16" x14ac:dyDescent="0.2">
      <c r="A525">
        <f t="shared" si="102"/>
        <v>104</v>
      </c>
      <c r="B525" t="s">
        <v>3</v>
      </c>
      <c r="C525" s="16" t="s">
        <v>1471</v>
      </c>
      <c r="F525" t="b">
        <f t="shared" si="103"/>
        <v>1</v>
      </c>
    </row>
    <row r="526" spans="1:6" x14ac:dyDescent="0.2">
      <c r="A526">
        <f t="shared" ref="A526" si="104">A525+1</f>
        <v>105</v>
      </c>
      <c r="B526" s="22" t="s">
        <v>1472</v>
      </c>
      <c r="C526" s="22"/>
      <c r="D526" s="22"/>
      <c r="E526" s="22"/>
      <c r="F526" s="22"/>
    </row>
    <row r="527" spans="1:6" ht="16" x14ac:dyDescent="0.2">
      <c r="A527">
        <f t="shared" ref="A527:A530" si="105">A526</f>
        <v>105</v>
      </c>
      <c r="B527" t="s">
        <v>0</v>
      </c>
      <c r="C527" s="16" t="s">
        <v>1270</v>
      </c>
      <c r="D527" t="s">
        <v>7</v>
      </c>
      <c r="F527" t="b">
        <f t="shared" ref="F527:F530" si="106">D527=E527</f>
        <v>0</v>
      </c>
    </row>
    <row r="528" spans="1:6" ht="16" x14ac:dyDescent="0.2">
      <c r="A528">
        <f t="shared" si="105"/>
        <v>105</v>
      </c>
      <c r="B528" t="s">
        <v>1</v>
      </c>
      <c r="C528" s="16" t="s">
        <v>1271</v>
      </c>
      <c r="D528" t="s">
        <v>8</v>
      </c>
      <c r="F528" t="b">
        <f t="shared" si="106"/>
        <v>0</v>
      </c>
    </row>
    <row r="529" spans="1:6" ht="16" x14ac:dyDescent="0.2">
      <c r="A529">
        <f t="shared" si="105"/>
        <v>105</v>
      </c>
      <c r="B529" t="s">
        <v>2</v>
      </c>
      <c r="C529" s="16" t="s">
        <v>1272</v>
      </c>
      <c r="D529" t="s">
        <v>7</v>
      </c>
      <c r="F529" t="b">
        <f t="shared" si="106"/>
        <v>0</v>
      </c>
    </row>
    <row r="530" spans="1:6" ht="16" x14ac:dyDescent="0.2">
      <c r="A530">
        <f t="shared" si="105"/>
        <v>105</v>
      </c>
      <c r="B530" t="s">
        <v>3</v>
      </c>
      <c r="C530" s="16" t="s">
        <v>1273</v>
      </c>
      <c r="D530" t="s">
        <v>7</v>
      </c>
      <c r="F530" t="b">
        <f t="shared" si="106"/>
        <v>0</v>
      </c>
    </row>
    <row r="531" spans="1:6" ht="77.25" customHeight="1" x14ac:dyDescent="0.2">
      <c r="A531">
        <f t="shared" ref="A531" si="107">A530+1</f>
        <v>106</v>
      </c>
      <c r="B531" s="22" t="s">
        <v>1473</v>
      </c>
      <c r="C531" s="22"/>
      <c r="D531" s="22"/>
      <c r="E531" s="22"/>
      <c r="F531" s="22"/>
    </row>
    <row r="532" spans="1:6" ht="16" x14ac:dyDescent="0.2">
      <c r="A532">
        <f t="shared" ref="A532:A535" si="108">A531</f>
        <v>106</v>
      </c>
      <c r="B532" t="s">
        <v>0</v>
      </c>
      <c r="C532" s="16" t="s">
        <v>31</v>
      </c>
      <c r="D532" t="s">
        <v>7</v>
      </c>
      <c r="F532" t="b">
        <f t="shared" ref="F532:F535" si="109">D532=E532</f>
        <v>0</v>
      </c>
    </row>
    <row r="533" spans="1:6" ht="16" x14ac:dyDescent="0.2">
      <c r="A533">
        <f t="shared" si="108"/>
        <v>106</v>
      </c>
      <c r="B533" t="s">
        <v>1</v>
      </c>
      <c r="C533" s="16" t="s">
        <v>11</v>
      </c>
      <c r="D533" t="s">
        <v>7</v>
      </c>
      <c r="F533" t="b">
        <f t="shared" si="109"/>
        <v>0</v>
      </c>
    </row>
    <row r="534" spans="1:6" ht="16" x14ac:dyDescent="0.2">
      <c r="A534">
        <f t="shared" si="108"/>
        <v>106</v>
      </c>
      <c r="B534" t="s">
        <v>2</v>
      </c>
      <c r="C534" s="16" t="s">
        <v>12</v>
      </c>
      <c r="D534" t="s">
        <v>7</v>
      </c>
      <c r="F534" t="b">
        <f t="shared" si="109"/>
        <v>0</v>
      </c>
    </row>
    <row r="535" spans="1:6" ht="16" x14ac:dyDescent="0.2">
      <c r="A535">
        <f t="shared" si="108"/>
        <v>106</v>
      </c>
      <c r="B535" t="s">
        <v>3</v>
      </c>
      <c r="C535" s="16" t="s">
        <v>13</v>
      </c>
      <c r="D535" t="s">
        <v>8</v>
      </c>
      <c r="F535" t="b">
        <f t="shared" si="109"/>
        <v>0</v>
      </c>
    </row>
    <row r="536" spans="1:6" x14ac:dyDescent="0.2">
      <c r="A536">
        <f t="shared" ref="A536" si="110">A535+1</f>
        <v>107</v>
      </c>
      <c r="B536" s="22" t="s">
        <v>1474</v>
      </c>
      <c r="C536" s="22"/>
      <c r="D536" s="22"/>
      <c r="E536" s="22"/>
      <c r="F536" s="22"/>
    </row>
    <row r="537" spans="1:6" ht="16" x14ac:dyDescent="0.2">
      <c r="A537">
        <f t="shared" ref="A537:A540" si="111">A536</f>
        <v>107</v>
      </c>
      <c r="B537" t="s">
        <v>0</v>
      </c>
      <c r="C537" s="16" t="s">
        <v>1278</v>
      </c>
      <c r="D537" t="s">
        <v>8</v>
      </c>
      <c r="F537" t="b">
        <f t="shared" ref="F537:F540" si="112">D537=E537</f>
        <v>0</v>
      </c>
    </row>
    <row r="538" spans="1:6" ht="16" x14ac:dyDescent="0.2">
      <c r="A538">
        <f t="shared" si="111"/>
        <v>107</v>
      </c>
      <c r="B538" t="s">
        <v>1</v>
      </c>
      <c r="C538" s="16" t="s">
        <v>1279</v>
      </c>
      <c r="D538" t="s">
        <v>8</v>
      </c>
      <c r="F538" t="b">
        <f t="shared" si="112"/>
        <v>0</v>
      </c>
    </row>
    <row r="539" spans="1:6" ht="16" x14ac:dyDescent="0.2">
      <c r="A539">
        <f t="shared" si="111"/>
        <v>107</v>
      </c>
      <c r="B539" t="s">
        <v>2</v>
      </c>
      <c r="C539" s="16" t="s">
        <v>1280</v>
      </c>
      <c r="D539" t="s">
        <v>7</v>
      </c>
      <c r="F539" t="b">
        <f t="shared" si="112"/>
        <v>0</v>
      </c>
    </row>
    <row r="540" spans="1:6" ht="16" x14ac:dyDescent="0.2">
      <c r="A540">
        <f t="shared" si="111"/>
        <v>107</v>
      </c>
      <c r="B540" t="s">
        <v>3</v>
      </c>
      <c r="C540" s="16" t="s">
        <v>1281</v>
      </c>
      <c r="D540" t="s">
        <v>8</v>
      </c>
      <c r="F540" t="b">
        <f t="shared" si="112"/>
        <v>0</v>
      </c>
    </row>
    <row r="541" spans="1:6" ht="32.25" customHeight="1" x14ac:dyDescent="0.2">
      <c r="A541">
        <f t="shared" ref="A541" si="113">A540+1</f>
        <v>108</v>
      </c>
      <c r="B541" s="22" t="s">
        <v>1475</v>
      </c>
      <c r="C541" s="22"/>
      <c r="D541" s="22"/>
      <c r="E541" s="22"/>
      <c r="F541" s="22"/>
    </row>
    <row r="542" spans="1:6" ht="16" x14ac:dyDescent="0.2">
      <c r="A542">
        <f t="shared" ref="A542:A545" si="114">A541</f>
        <v>108</v>
      </c>
      <c r="B542" t="s">
        <v>0</v>
      </c>
      <c r="C542" s="16" t="s">
        <v>1093</v>
      </c>
      <c r="D542" t="s">
        <v>8</v>
      </c>
      <c r="F542" t="b">
        <f t="shared" ref="F542:F545" si="115">D542=E542</f>
        <v>0</v>
      </c>
    </row>
    <row r="543" spans="1:6" ht="16" x14ac:dyDescent="0.2">
      <c r="A543">
        <f t="shared" si="114"/>
        <v>108</v>
      </c>
      <c r="B543" t="s">
        <v>1</v>
      </c>
      <c r="C543" s="16" t="s">
        <v>1217</v>
      </c>
      <c r="D543" t="s">
        <v>7</v>
      </c>
      <c r="F543" t="b">
        <f t="shared" si="115"/>
        <v>0</v>
      </c>
    </row>
    <row r="544" spans="1:6" ht="16" x14ac:dyDescent="0.2">
      <c r="A544">
        <f t="shared" si="114"/>
        <v>108</v>
      </c>
      <c r="B544" t="s">
        <v>2</v>
      </c>
      <c r="C544" s="16" t="s">
        <v>1216</v>
      </c>
      <c r="D544" t="s">
        <v>7</v>
      </c>
      <c r="F544" t="b">
        <f t="shared" si="115"/>
        <v>0</v>
      </c>
    </row>
    <row r="545" spans="1:6" ht="16" x14ac:dyDescent="0.2">
      <c r="A545">
        <f t="shared" si="114"/>
        <v>108</v>
      </c>
      <c r="B545" t="s">
        <v>3</v>
      </c>
      <c r="C545" s="16" t="s">
        <v>1218</v>
      </c>
      <c r="D545" t="s">
        <v>7</v>
      </c>
      <c r="F545" t="b">
        <f t="shared" si="115"/>
        <v>0</v>
      </c>
    </row>
    <row r="546" spans="1:6" ht="28.5" customHeight="1" x14ac:dyDescent="0.2">
      <c r="A546">
        <f t="shared" ref="A546" si="116">A545+1</f>
        <v>109</v>
      </c>
      <c r="B546" s="22" t="s">
        <v>1476</v>
      </c>
      <c r="C546" s="22"/>
      <c r="D546" s="22"/>
      <c r="E546" s="22"/>
      <c r="F546" s="22"/>
    </row>
    <row r="547" spans="1:6" ht="16" x14ac:dyDescent="0.2">
      <c r="A547">
        <f t="shared" ref="A547:A550" si="117">A546</f>
        <v>109</v>
      </c>
      <c r="B547" t="s">
        <v>0</v>
      </c>
      <c r="C547" s="16" t="s">
        <v>1477</v>
      </c>
      <c r="D547" t="s">
        <v>7</v>
      </c>
      <c r="F547" t="b">
        <f t="shared" ref="F547:F550" si="118">D547=E547</f>
        <v>0</v>
      </c>
    </row>
    <row r="548" spans="1:6" ht="16" x14ac:dyDescent="0.2">
      <c r="A548">
        <f t="shared" si="117"/>
        <v>109</v>
      </c>
      <c r="B548" t="s">
        <v>1</v>
      </c>
      <c r="C548" s="16" t="s">
        <v>1478</v>
      </c>
      <c r="D548" t="s">
        <v>8</v>
      </c>
      <c r="F548" t="b">
        <f t="shared" si="118"/>
        <v>0</v>
      </c>
    </row>
    <row r="549" spans="1:6" ht="16" x14ac:dyDescent="0.2">
      <c r="A549">
        <f t="shared" si="117"/>
        <v>109</v>
      </c>
      <c r="B549" t="s">
        <v>2</v>
      </c>
      <c r="C549" s="16" t="s">
        <v>1479</v>
      </c>
      <c r="D549" t="s">
        <v>8</v>
      </c>
      <c r="F549" t="b">
        <f t="shared" si="118"/>
        <v>0</v>
      </c>
    </row>
    <row r="550" spans="1:6" ht="16" x14ac:dyDescent="0.2">
      <c r="A550">
        <f t="shared" si="117"/>
        <v>109</v>
      </c>
      <c r="B550" t="s">
        <v>3</v>
      </c>
      <c r="C550" s="16" t="s">
        <v>1480</v>
      </c>
      <c r="D550" t="s">
        <v>7</v>
      </c>
      <c r="F550" t="b">
        <f t="shared" si="118"/>
        <v>0</v>
      </c>
    </row>
    <row r="551" spans="1:6" ht="30.75" customHeight="1" x14ac:dyDescent="0.2">
      <c r="A551">
        <f t="shared" ref="A551" si="119">A550+1</f>
        <v>110</v>
      </c>
      <c r="B551" s="22" t="s">
        <v>1481</v>
      </c>
      <c r="C551" s="22"/>
      <c r="D551" s="22"/>
      <c r="E551" s="22"/>
      <c r="F551" s="22"/>
    </row>
    <row r="552" spans="1:6" ht="16" x14ac:dyDescent="0.2">
      <c r="A552">
        <f t="shared" ref="A552:A555" si="120">A551</f>
        <v>110</v>
      </c>
      <c r="B552" t="s">
        <v>0</v>
      </c>
      <c r="C552" s="16" t="s">
        <v>1222</v>
      </c>
      <c r="D552" t="s">
        <v>7</v>
      </c>
      <c r="F552" t="b">
        <f t="shared" ref="F552:F555" si="121">D552=E552</f>
        <v>0</v>
      </c>
    </row>
    <row r="553" spans="1:6" ht="16" x14ac:dyDescent="0.2">
      <c r="A553">
        <f t="shared" si="120"/>
        <v>110</v>
      </c>
      <c r="B553" t="s">
        <v>1</v>
      </c>
      <c r="C553" s="16" t="s">
        <v>1422</v>
      </c>
      <c r="D553" t="s">
        <v>8</v>
      </c>
      <c r="F553" t="b">
        <f t="shared" si="121"/>
        <v>0</v>
      </c>
    </row>
    <row r="554" spans="1:6" ht="16" x14ac:dyDescent="0.2">
      <c r="A554">
        <f t="shared" si="120"/>
        <v>110</v>
      </c>
      <c r="B554" t="s">
        <v>2</v>
      </c>
      <c r="C554" s="16" t="s">
        <v>1284</v>
      </c>
      <c r="D554" t="s">
        <v>7</v>
      </c>
      <c r="F554" t="b">
        <f t="shared" si="121"/>
        <v>0</v>
      </c>
    </row>
    <row r="555" spans="1:6" ht="16" x14ac:dyDescent="0.2">
      <c r="A555">
        <f t="shared" si="120"/>
        <v>110</v>
      </c>
      <c r="B555" t="s">
        <v>3</v>
      </c>
      <c r="C555" s="16" t="s">
        <v>1424</v>
      </c>
      <c r="D555" t="s">
        <v>7</v>
      </c>
      <c r="F555" t="b">
        <f t="shared" si="121"/>
        <v>0</v>
      </c>
    </row>
    <row r="556" spans="1:6" ht="29.25" customHeight="1" x14ac:dyDescent="0.2">
      <c r="A556">
        <f t="shared" ref="A556" si="122">A555+1</f>
        <v>111</v>
      </c>
      <c r="B556" s="22" t="s">
        <v>1482</v>
      </c>
      <c r="C556" s="22"/>
      <c r="D556" s="22"/>
      <c r="E556" s="22"/>
      <c r="F556" s="22"/>
    </row>
    <row r="557" spans="1:6" ht="16" x14ac:dyDescent="0.2">
      <c r="A557">
        <f t="shared" ref="A557:A560" si="123">A556</f>
        <v>111</v>
      </c>
      <c r="B557" t="s">
        <v>0</v>
      </c>
      <c r="C557" s="16" t="s">
        <v>1483</v>
      </c>
      <c r="D557" t="s">
        <v>7</v>
      </c>
      <c r="F557" t="b">
        <f t="shared" ref="F557:F560" si="124">D557=E557</f>
        <v>0</v>
      </c>
    </row>
    <row r="558" spans="1:6" ht="16" x14ac:dyDescent="0.2">
      <c r="A558">
        <f t="shared" si="123"/>
        <v>111</v>
      </c>
      <c r="B558" t="s">
        <v>1</v>
      </c>
      <c r="C558" s="16" t="s">
        <v>1253</v>
      </c>
      <c r="D558" t="s">
        <v>7</v>
      </c>
      <c r="F558" t="b">
        <f t="shared" si="124"/>
        <v>0</v>
      </c>
    </row>
    <row r="559" spans="1:6" ht="16" x14ac:dyDescent="0.2">
      <c r="A559">
        <f t="shared" si="123"/>
        <v>111</v>
      </c>
      <c r="B559" t="s">
        <v>2</v>
      </c>
      <c r="C559" s="16" t="s">
        <v>1000</v>
      </c>
      <c r="D559" t="s">
        <v>8</v>
      </c>
      <c r="F559" t="b">
        <f t="shared" si="124"/>
        <v>0</v>
      </c>
    </row>
    <row r="560" spans="1:6" ht="16" x14ac:dyDescent="0.2">
      <c r="A560">
        <f t="shared" si="123"/>
        <v>111</v>
      </c>
      <c r="B560" t="s">
        <v>3</v>
      </c>
      <c r="C560" s="16" t="s">
        <v>1484</v>
      </c>
      <c r="D560" t="s">
        <v>7</v>
      </c>
      <c r="F560" t="b">
        <f t="shared" si="124"/>
        <v>0</v>
      </c>
    </row>
    <row r="561" spans="1:6" ht="33" customHeight="1" x14ac:dyDescent="0.2">
      <c r="A561">
        <f t="shared" ref="A561" si="125">A560+1</f>
        <v>112</v>
      </c>
      <c r="B561" s="22" t="s">
        <v>1485</v>
      </c>
      <c r="C561" s="22"/>
      <c r="D561" s="22"/>
      <c r="E561" s="22"/>
      <c r="F561" s="22"/>
    </row>
    <row r="562" spans="1:6" ht="32" x14ac:dyDescent="0.2">
      <c r="A562">
        <f t="shared" ref="A562:A565" si="126">A561</f>
        <v>112</v>
      </c>
      <c r="B562" t="s">
        <v>0</v>
      </c>
      <c r="C562" s="16" t="s">
        <v>1486</v>
      </c>
      <c r="D562" t="s">
        <v>7</v>
      </c>
      <c r="F562" t="b">
        <f t="shared" ref="F562:F565" si="127">D562=E562</f>
        <v>0</v>
      </c>
    </row>
    <row r="563" spans="1:6" ht="32" x14ac:dyDescent="0.2">
      <c r="A563">
        <f t="shared" si="126"/>
        <v>112</v>
      </c>
      <c r="B563" t="s">
        <v>1</v>
      </c>
      <c r="C563" s="16" t="s">
        <v>1487</v>
      </c>
      <c r="D563" t="s">
        <v>8</v>
      </c>
      <c r="F563" t="b">
        <f t="shared" si="127"/>
        <v>0</v>
      </c>
    </row>
    <row r="564" spans="1:6" ht="16" x14ac:dyDescent="0.2">
      <c r="A564">
        <f t="shared" si="126"/>
        <v>112</v>
      </c>
      <c r="B564" t="s">
        <v>2</v>
      </c>
      <c r="C564" s="16" t="s">
        <v>1488</v>
      </c>
      <c r="D564" t="s">
        <v>8</v>
      </c>
      <c r="F564" t="b">
        <f t="shared" si="127"/>
        <v>0</v>
      </c>
    </row>
    <row r="565" spans="1:6" ht="16" x14ac:dyDescent="0.2">
      <c r="A565">
        <f t="shared" si="126"/>
        <v>112</v>
      </c>
      <c r="B565" t="s">
        <v>3</v>
      </c>
      <c r="C565" s="16" t="s">
        <v>1489</v>
      </c>
      <c r="D565" t="s">
        <v>7</v>
      </c>
      <c r="F565" t="b">
        <f t="shared" si="127"/>
        <v>0</v>
      </c>
    </row>
    <row r="566" spans="1:6" ht="30" customHeight="1" x14ac:dyDescent="0.2">
      <c r="A566">
        <f t="shared" ref="A566" si="128">A565+1</f>
        <v>113</v>
      </c>
      <c r="B566" s="22" t="s">
        <v>1490</v>
      </c>
      <c r="C566" s="22"/>
      <c r="D566" s="22"/>
      <c r="E566" s="22"/>
      <c r="F566" s="22"/>
    </row>
    <row r="567" spans="1:6" ht="16" x14ac:dyDescent="0.2">
      <c r="A567">
        <f t="shared" ref="A567:A570" si="129">A566</f>
        <v>113</v>
      </c>
      <c r="B567" t="s">
        <v>0</v>
      </c>
      <c r="C567" s="16" t="s">
        <v>1491</v>
      </c>
      <c r="D567" t="s">
        <v>8</v>
      </c>
      <c r="F567" t="b">
        <f t="shared" ref="F567:F570" si="130">D567=E567</f>
        <v>0</v>
      </c>
    </row>
    <row r="568" spans="1:6" ht="16" x14ac:dyDescent="0.2">
      <c r="A568">
        <f t="shared" si="129"/>
        <v>113</v>
      </c>
      <c r="B568" t="s">
        <v>1</v>
      </c>
      <c r="C568" s="16" t="s">
        <v>1492</v>
      </c>
      <c r="D568" t="s">
        <v>7</v>
      </c>
      <c r="F568" t="b">
        <f t="shared" si="130"/>
        <v>0</v>
      </c>
    </row>
    <row r="569" spans="1:6" ht="16" x14ac:dyDescent="0.2">
      <c r="A569">
        <f t="shared" si="129"/>
        <v>113</v>
      </c>
      <c r="B569" t="s">
        <v>2</v>
      </c>
      <c r="C569" s="16" t="s">
        <v>759</v>
      </c>
      <c r="D569" t="s">
        <v>7</v>
      </c>
      <c r="F569" t="b">
        <f t="shared" si="130"/>
        <v>0</v>
      </c>
    </row>
    <row r="570" spans="1:6" ht="16" x14ac:dyDescent="0.2">
      <c r="A570">
        <f t="shared" si="129"/>
        <v>113</v>
      </c>
      <c r="B570" t="s">
        <v>3</v>
      </c>
      <c r="C570" s="16" t="s">
        <v>760</v>
      </c>
      <c r="D570" t="s">
        <v>7</v>
      </c>
      <c r="F570" t="b">
        <f t="shared" si="130"/>
        <v>0</v>
      </c>
    </row>
    <row r="571" spans="1:6" x14ac:dyDescent="0.2">
      <c r="A571">
        <f t="shared" ref="A571" si="131">A570+1</f>
        <v>114</v>
      </c>
      <c r="B571" s="22" t="s">
        <v>1493</v>
      </c>
      <c r="C571" s="22"/>
      <c r="D571" s="22"/>
      <c r="E571" s="22"/>
      <c r="F571" s="22"/>
    </row>
    <row r="572" spans="1:6" ht="16" x14ac:dyDescent="0.2">
      <c r="A572">
        <f t="shared" ref="A572:A575" si="132">A571</f>
        <v>114</v>
      </c>
      <c r="B572" t="s">
        <v>0</v>
      </c>
      <c r="C572" s="16" t="s">
        <v>1301</v>
      </c>
      <c r="D572" t="s">
        <v>7</v>
      </c>
      <c r="F572" t="b">
        <f t="shared" ref="F572:F575" si="133">D572=E572</f>
        <v>0</v>
      </c>
    </row>
    <row r="573" spans="1:6" ht="16" x14ac:dyDescent="0.2">
      <c r="A573">
        <f t="shared" si="132"/>
        <v>114</v>
      </c>
      <c r="B573" t="s">
        <v>1</v>
      </c>
      <c r="C573" s="16" t="s">
        <v>1302</v>
      </c>
      <c r="D573" t="s">
        <v>8</v>
      </c>
      <c r="F573" t="b">
        <f t="shared" si="133"/>
        <v>0</v>
      </c>
    </row>
    <row r="574" spans="1:6" ht="16" x14ac:dyDescent="0.2">
      <c r="A574">
        <f t="shared" si="132"/>
        <v>114</v>
      </c>
      <c r="B574" t="s">
        <v>2</v>
      </c>
      <c r="C574" s="16" t="s">
        <v>1303</v>
      </c>
      <c r="D574" t="s">
        <v>7</v>
      </c>
      <c r="F574" t="b">
        <f t="shared" si="133"/>
        <v>0</v>
      </c>
    </row>
    <row r="575" spans="1:6" ht="16" x14ac:dyDescent="0.2">
      <c r="A575">
        <f t="shared" si="132"/>
        <v>114</v>
      </c>
      <c r="B575" t="s">
        <v>3</v>
      </c>
      <c r="C575" s="16" t="s">
        <v>1304</v>
      </c>
      <c r="D575" t="s">
        <v>7</v>
      </c>
      <c r="F575" t="b">
        <f t="shared" si="133"/>
        <v>0</v>
      </c>
    </row>
    <row r="576" spans="1:6" x14ac:dyDescent="0.2">
      <c r="A576">
        <f t="shared" ref="A576" si="134">A575+1</f>
        <v>115</v>
      </c>
      <c r="B576" s="22" t="s">
        <v>1494</v>
      </c>
      <c r="C576" s="22"/>
      <c r="D576" s="22"/>
      <c r="E576" s="22"/>
      <c r="F576" s="22"/>
    </row>
    <row r="577" spans="1:6" ht="16" x14ac:dyDescent="0.2">
      <c r="A577">
        <f t="shared" ref="A577:A580" si="135">A576</f>
        <v>115</v>
      </c>
      <c r="B577" t="s">
        <v>0</v>
      </c>
      <c r="C577" s="16" t="s">
        <v>1495</v>
      </c>
      <c r="D577" t="s">
        <v>7</v>
      </c>
      <c r="F577" t="b">
        <f t="shared" ref="F577:F580" si="136">D577=E577</f>
        <v>0</v>
      </c>
    </row>
    <row r="578" spans="1:6" ht="16" x14ac:dyDescent="0.2">
      <c r="A578">
        <f t="shared" si="135"/>
        <v>115</v>
      </c>
      <c r="B578" t="s">
        <v>1</v>
      </c>
      <c r="C578" s="16" t="s">
        <v>1496</v>
      </c>
      <c r="D578" t="s">
        <v>7</v>
      </c>
      <c r="F578" t="b">
        <f t="shared" si="136"/>
        <v>0</v>
      </c>
    </row>
    <row r="579" spans="1:6" ht="16" x14ac:dyDescent="0.2">
      <c r="A579">
        <f t="shared" si="135"/>
        <v>115</v>
      </c>
      <c r="B579" t="s">
        <v>2</v>
      </c>
      <c r="C579" s="16" t="s">
        <v>696</v>
      </c>
      <c r="D579" t="s">
        <v>8</v>
      </c>
      <c r="F579" t="b">
        <f t="shared" si="136"/>
        <v>0</v>
      </c>
    </row>
    <row r="580" spans="1:6" ht="16" x14ac:dyDescent="0.2">
      <c r="A580">
        <f t="shared" si="135"/>
        <v>115</v>
      </c>
      <c r="B580" t="s">
        <v>3</v>
      </c>
      <c r="C580" s="16" t="s">
        <v>1497</v>
      </c>
      <c r="D580" t="s">
        <v>7</v>
      </c>
      <c r="F580" t="b">
        <f t="shared" si="136"/>
        <v>0</v>
      </c>
    </row>
    <row r="581" spans="1:6" ht="45.75" customHeight="1" x14ac:dyDescent="0.2">
      <c r="A581">
        <f t="shared" ref="A581" si="137">A580+1</f>
        <v>116</v>
      </c>
      <c r="B581" s="22" t="s">
        <v>1498</v>
      </c>
      <c r="C581" s="22"/>
      <c r="D581" s="22"/>
      <c r="E581" s="22"/>
      <c r="F581" s="22"/>
    </row>
    <row r="582" spans="1:6" ht="16" x14ac:dyDescent="0.2">
      <c r="A582">
        <f t="shared" ref="A582:A585" si="138">A581</f>
        <v>116</v>
      </c>
      <c r="B582" t="s">
        <v>0</v>
      </c>
      <c r="C582" s="16" t="s">
        <v>1311</v>
      </c>
      <c r="D582" t="s">
        <v>7</v>
      </c>
      <c r="F582" t="b">
        <f t="shared" ref="F582:F585" si="139">D582=E582</f>
        <v>0</v>
      </c>
    </row>
    <row r="583" spans="1:6" ht="16" x14ac:dyDescent="0.2">
      <c r="A583">
        <f t="shared" si="138"/>
        <v>116</v>
      </c>
      <c r="B583" t="s">
        <v>1</v>
      </c>
      <c r="C583" s="16" t="s">
        <v>1499</v>
      </c>
      <c r="D583" t="s">
        <v>7</v>
      </c>
      <c r="F583" t="b">
        <f t="shared" si="139"/>
        <v>0</v>
      </c>
    </row>
    <row r="584" spans="1:6" ht="16" x14ac:dyDescent="0.2">
      <c r="A584">
        <f t="shared" si="138"/>
        <v>116</v>
      </c>
      <c r="B584" t="s">
        <v>2</v>
      </c>
      <c r="C584" s="16" t="s">
        <v>1500</v>
      </c>
      <c r="D584" t="s">
        <v>8</v>
      </c>
      <c r="F584" t="b">
        <f t="shared" si="139"/>
        <v>0</v>
      </c>
    </row>
    <row r="585" spans="1:6" ht="16" x14ac:dyDescent="0.2">
      <c r="A585">
        <f t="shared" si="138"/>
        <v>116</v>
      </c>
      <c r="B585" t="s">
        <v>3</v>
      </c>
      <c r="C585" s="16" t="s">
        <v>1314</v>
      </c>
      <c r="D585" t="s">
        <v>7</v>
      </c>
      <c r="F585" t="b">
        <f t="shared" si="139"/>
        <v>0</v>
      </c>
    </row>
    <row r="586" spans="1:6" ht="60" customHeight="1" x14ac:dyDescent="0.2">
      <c r="A586">
        <f t="shared" ref="A586" si="140">A585+1</f>
        <v>117</v>
      </c>
      <c r="B586" s="22" t="s">
        <v>1501</v>
      </c>
      <c r="C586" s="22"/>
      <c r="D586" s="22"/>
      <c r="E586" s="22"/>
      <c r="F586" s="22"/>
    </row>
    <row r="587" spans="1:6" ht="16" x14ac:dyDescent="0.2">
      <c r="A587">
        <f t="shared" ref="A587:A590" si="141">A586</f>
        <v>117</v>
      </c>
      <c r="B587" t="s">
        <v>0</v>
      </c>
      <c r="C587" s="16" t="s">
        <v>15</v>
      </c>
      <c r="D587" t="s">
        <v>8</v>
      </c>
      <c r="F587" t="b">
        <f t="shared" ref="F587:F590" si="142">D587=E587</f>
        <v>0</v>
      </c>
    </row>
    <row r="588" spans="1:6" ht="16" x14ac:dyDescent="0.2">
      <c r="A588">
        <f t="shared" si="141"/>
        <v>117</v>
      </c>
      <c r="B588" t="s">
        <v>1</v>
      </c>
      <c r="C588" s="16" t="s">
        <v>16</v>
      </c>
      <c r="D588" t="s">
        <v>7</v>
      </c>
      <c r="F588" t="b">
        <f t="shared" si="142"/>
        <v>0</v>
      </c>
    </row>
    <row r="589" spans="1:6" ht="16" x14ac:dyDescent="0.2">
      <c r="A589">
        <f t="shared" si="141"/>
        <v>117</v>
      </c>
      <c r="B589" t="s">
        <v>2</v>
      </c>
      <c r="C589" s="16" t="s">
        <v>1502</v>
      </c>
      <c r="D589" t="s">
        <v>7</v>
      </c>
      <c r="F589" t="b">
        <f t="shared" si="142"/>
        <v>0</v>
      </c>
    </row>
    <row r="590" spans="1:6" ht="16" x14ac:dyDescent="0.2">
      <c r="A590">
        <f t="shared" si="141"/>
        <v>117</v>
      </c>
      <c r="B590" t="s">
        <v>3</v>
      </c>
      <c r="C590" s="16" t="s">
        <v>1503</v>
      </c>
      <c r="D590" t="s">
        <v>7</v>
      </c>
      <c r="F590" t="b">
        <f t="shared" si="142"/>
        <v>0</v>
      </c>
    </row>
    <row r="591" spans="1:6" x14ac:dyDescent="0.2">
      <c r="A591">
        <f t="shared" ref="A591" si="143">A590+1</f>
        <v>118</v>
      </c>
      <c r="B591" s="22" t="s">
        <v>1504</v>
      </c>
      <c r="C591" s="22"/>
      <c r="D591" s="22"/>
      <c r="E591" s="22"/>
      <c r="F591" s="22"/>
    </row>
    <row r="592" spans="1:6" ht="16" x14ac:dyDescent="0.2">
      <c r="A592">
        <f t="shared" ref="A592:A595" si="144">A591</f>
        <v>118</v>
      </c>
      <c r="B592" t="s">
        <v>0</v>
      </c>
      <c r="C592" s="16" t="s">
        <v>1319</v>
      </c>
      <c r="D592" t="s">
        <v>7</v>
      </c>
      <c r="F592" t="b">
        <f t="shared" ref="F592:F595" si="145">D592=E592</f>
        <v>0</v>
      </c>
    </row>
    <row r="593" spans="1:6" ht="16" x14ac:dyDescent="0.2">
      <c r="A593">
        <f t="shared" si="144"/>
        <v>118</v>
      </c>
      <c r="B593" t="s">
        <v>1</v>
      </c>
      <c r="C593" s="16" t="s">
        <v>1320</v>
      </c>
      <c r="D593" t="s">
        <v>7</v>
      </c>
      <c r="F593" t="b">
        <f t="shared" si="145"/>
        <v>0</v>
      </c>
    </row>
    <row r="594" spans="1:6" ht="16" x14ac:dyDescent="0.2">
      <c r="A594">
        <f t="shared" si="144"/>
        <v>118</v>
      </c>
      <c r="B594" t="s">
        <v>2</v>
      </c>
      <c r="C594" s="16" t="s">
        <v>1321</v>
      </c>
      <c r="D594" t="s">
        <v>8</v>
      </c>
      <c r="F594" t="b">
        <f t="shared" si="145"/>
        <v>0</v>
      </c>
    </row>
    <row r="595" spans="1:6" ht="16" x14ac:dyDescent="0.2">
      <c r="A595">
        <f t="shared" si="144"/>
        <v>118</v>
      </c>
      <c r="B595" t="s">
        <v>3</v>
      </c>
      <c r="C595" s="16" t="s">
        <v>1322</v>
      </c>
      <c r="D595" t="s">
        <v>8</v>
      </c>
      <c r="F595" t="b">
        <f t="shared" si="145"/>
        <v>0</v>
      </c>
    </row>
    <row r="596" spans="1:6" ht="33" customHeight="1" x14ac:dyDescent="0.2">
      <c r="A596">
        <f t="shared" ref="A596" si="146">A595+1</f>
        <v>119</v>
      </c>
      <c r="B596" s="22" t="s">
        <v>1505</v>
      </c>
      <c r="C596" s="22"/>
      <c r="D596" s="22"/>
      <c r="E596" s="22"/>
      <c r="F596" s="22"/>
    </row>
    <row r="597" spans="1:6" ht="16" x14ac:dyDescent="0.2">
      <c r="A597">
        <f t="shared" ref="A597:A600" si="147">A596</f>
        <v>119</v>
      </c>
      <c r="B597" t="s">
        <v>0</v>
      </c>
      <c r="C597" s="16" t="s">
        <v>1506</v>
      </c>
      <c r="D597" t="s">
        <v>7</v>
      </c>
      <c r="F597" t="b">
        <f t="shared" ref="F597:F600" si="148">D597=E597</f>
        <v>0</v>
      </c>
    </row>
    <row r="598" spans="1:6" ht="16" x14ac:dyDescent="0.2">
      <c r="A598">
        <f t="shared" si="147"/>
        <v>119</v>
      </c>
      <c r="B598" t="s">
        <v>1</v>
      </c>
      <c r="C598" s="16" t="s">
        <v>1119</v>
      </c>
      <c r="D598" t="s">
        <v>8</v>
      </c>
      <c r="F598" t="b">
        <f t="shared" si="148"/>
        <v>0</v>
      </c>
    </row>
    <row r="599" spans="1:6" ht="16" x14ac:dyDescent="0.2">
      <c r="A599">
        <f t="shared" si="147"/>
        <v>119</v>
      </c>
      <c r="B599" t="s">
        <v>2</v>
      </c>
      <c r="C599" s="16" t="s">
        <v>1477</v>
      </c>
      <c r="D599" t="s">
        <v>7</v>
      </c>
      <c r="F599" t="b">
        <f t="shared" si="148"/>
        <v>0</v>
      </c>
    </row>
    <row r="600" spans="1:6" ht="16" x14ac:dyDescent="0.2">
      <c r="A600">
        <f t="shared" si="147"/>
        <v>119</v>
      </c>
      <c r="B600" t="s">
        <v>3</v>
      </c>
      <c r="C600" s="16" t="s">
        <v>695</v>
      </c>
      <c r="D600" t="s">
        <v>7</v>
      </c>
      <c r="F600" t="b">
        <f t="shared" si="148"/>
        <v>0</v>
      </c>
    </row>
    <row r="601" spans="1:6" ht="30.75" customHeight="1" x14ac:dyDescent="0.2">
      <c r="A601">
        <f t="shared" ref="A601" si="149">A600+1</f>
        <v>120</v>
      </c>
      <c r="B601" s="22" t="s">
        <v>1507</v>
      </c>
      <c r="C601" s="22"/>
      <c r="D601" s="22"/>
      <c r="E601" s="22"/>
      <c r="F601" s="22"/>
    </row>
    <row r="602" spans="1:6" ht="16" x14ac:dyDescent="0.2">
      <c r="A602">
        <f t="shared" ref="A602:A605" si="150">A601</f>
        <v>120</v>
      </c>
      <c r="B602" t="s">
        <v>0</v>
      </c>
      <c r="C602" s="16" t="s">
        <v>1506</v>
      </c>
      <c r="D602" t="s">
        <v>8</v>
      </c>
      <c r="F602" t="b">
        <f t="shared" ref="F602:F605" si="151">D602=E602</f>
        <v>0</v>
      </c>
    </row>
    <row r="603" spans="1:6" ht="16" x14ac:dyDescent="0.2">
      <c r="A603">
        <f t="shared" si="150"/>
        <v>120</v>
      </c>
      <c r="B603" t="s">
        <v>1</v>
      </c>
      <c r="C603" s="16" t="s">
        <v>1119</v>
      </c>
      <c r="D603" t="s">
        <v>7</v>
      </c>
      <c r="F603" t="b">
        <f t="shared" si="151"/>
        <v>0</v>
      </c>
    </row>
    <row r="604" spans="1:6" ht="16" x14ac:dyDescent="0.2">
      <c r="A604">
        <f t="shared" si="150"/>
        <v>120</v>
      </c>
      <c r="B604" t="s">
        <v>2</v>
      </c>
      <c r="C604" s="16" t="s">
        <v>1477</v>
      </c>
      <c r="D604" t="s">
        <v>7</v>
      </c>
      <c r="F604" t="b">
        <f t="shared" si="151"/>
        <v>0</v>
      </c>
    </row>
    <row r="605" spans="1:6" ht="16" x14ac:dyDescent="0.2">
      <c r="A605">
        <f t="shared" si="150"/>
        <v>120</v>
      </c>
      <c r="B605" t="s">
        <v>3</v>
      </c>
      <c r="C605" s="16" t="s">
        <v>695</v>
      </c>
      <c r="D605" t="s">
        <v>7</v>
      </c>
      <c r="F605" t="b">
        <f t="shared" si="151"/>
        <v>0</v>
      </c>
    </row>
    <row r="606" spans="1:6" ht="32.25" customHeight="1" x14ac:dyDescent="0.2">
      <c r="A606">
        <f t="shared" ref="A606" si="152">A605+1</f>
        <v>121</v>
      </c>
      <c r="B606" s="22" t="s">
        <v>1508</v>
      </c>
      <c r="C606" s="22"/>
      <c r="D606" s="22"/>
      <c r="E606" s="22"/>
      <c r="F606" s="22"/>
    </row>
    <row r="607" spans="1:6" ht="16" x14ac:dyDescent="0.2">
      <c r="A607">
        <f t="shared" ref="A607:A610" si="153">A606</f>
        <v>121</v>
      </c>
      <c r="B607" t="s">
        <v>0</v>
      </c>
      <c r="C607" s="16" t="s">
        <v>1331</v>
      </c>
      <c r="D607" t="s">
        <v>8</v>
      </c>
      <c r="F607" t="b">
        <f t="shared" ref="F607:F610" si="154">D607=E607</f>
        <v>0</v>
      </c>
    </row>
    <row r="608" spans="1:6" ht="16" x14ac:dyDescent="0.2">
      <c r="A608">
        <f t="shared" si="153"/>
        <v>121</v>
      </c>
      <c r="B608" t="s">
        <v>1</v>
      </c>
      <c r="C608" s="16" t="s">
        <v>5</v>
      </c>
      <c r="D608" t="s">
        <v>7</v>
      </c>
      <c r="F608" t="b">
        <f t="shared" si="154"/>
        <v>0</v>
      </c>
    </row>
    <row r="609" spans="1:6" ht="16" x14ac:dyDescent="0.2">
      <c r="A609">
        <f t="shared" si="153"/>
        <v>121</v>
      </c>
      <c r="B609" t="s">
        <v>2</v>
      </c>
      <c r="C609" s="16" t="s">
        <v>1189</v>
      </c>
      <c r="D609" t="s">
        <v>7</v>
      </c>
      <c r="F609" t="b">
        <f t="shared" si="154"/>
        <v>0</v>
      </c>
    </row>
    <row r="610" spans="1:6" ht="16" x14ac:dyDescent="0.2">
      <c r="A610">
        <f t="shared" si="153"/>
        <v>121</v>
      </c>
      <c r="B610" t="s">
        <v>3</v>
      </c>
      <c r="C610" s="16" t="s">
        <v>1332</v>
      </c>
      <c r="D610" t="s">
        <v>7</v>
      </c>
      <c r="F610" t="b">
        <f t="shared" si="154"/>
        <v>0</v>
      </c>
    </row>
    <row r="611" spans="1:6" ht="30" customHeight="1" x14ac:dyDescent="0.2">
      <c r="A611">
        <f t="shared" ref="A611" si="155">A610+1</f>
        <v>122</v>
      </c>
      <c r="B611" s="22" t="s">
        <v>1509</v>
      </c>
      <c r="C611" s="22"/>
      <c r="D611" s="22"/>
      <c r="E611" s="22"/>
      <c r="F611" s="22"/>
    </row>
    <row r="612" spans="1:6" ht="16" x14ac:dyDescent="0.2">
      <c r="A612">
        <f t="shared" ref="A612:A615" si="156">A611</f>
        <v>122</v>
      </c>
      <c r="B612" t="s">
        <v>0</v>
      </c>
      <c r="C612" s="16" t="s">
        <v>1510</v>
      </c>
      <c r="D612" t="s">
        <v>7</v>
      </c>
      <c r="F612" t="b">
        <f t="shared" ref="F612:F615" si="157">D612=E612</f>
        <v>0</v>
      </c>
    </row>
    <row r="613" spans="1:6" ht="16" x14ac:dyDescent="0.2">
      <c r="A613">
        <f t="shared" si="156"/>
        <v>122</v>
      </c>
      <c r="B613" t="s">
        <v>1</v>
      </c>
      <c r="C613" s="16" t="s">
        <v>1511</v>
      </c>
      <c r="D613" t="s">
        <v>8</v>
      </c>
      <c r="F613" t="b">
        <f t="shared" si="157"/>
        <v>0</v>
      </c>
    </row>
    <row r="614" spans="1:6" ht="16" x14ac:dyDescent="0.2">
      <c r="A614">
        <f t="shared" si="156"/>
        <v>122</v>
      </c>
      <c r="B614" t="s">
        <v>2</v>
      </c>
      <c r="C614" s="16" t="s">
        <v>1512</v>
      </c>
      <c r="D614" t="s">
        <v>7</v>
      </c>
      <c r="F614" t="b">
        <f t="shared" si="157"/>
        <v>0</v>
      </c>
    </row>
    <row r="615" spans="1:6" ht="16" x14ac:dyDescent="0.2">
      <c r="A615">
        <f t="shared" si="156"/>
        <v>122</v>
      </c>
      <c r="B615" t="s">
        <v>3</v>
      </c>
      <c r="C615" s="16" t="s">
        <v>1513</v>
      </c>
      <c r="D615" t="s">
        <v>7</v>
      </c>
      <c r="F615" t="b">
        <f t="shared" si="157"/>
        <v>0</v>
      </c>
    </row>
    <row r="616" spans="1:6" ht="30" customHeight="1" x14ac:dyDescent="0.2">
      <c r="A616">
        <f t="shared" ref="A616" si="158">A615+1</f>
        <v>123</v>
      </c>
      <c r="B616" s="22" t="s">
        <v>1514</v>
      </c>
      <c r="C616" s="22"/>
      <c r="D616" s="22"/>
      <c r="E616" s="22"/>
      <c r="F616" s="22"/>
    </row>
    <row r="617" spans="1:6" ht="16" x14ac:dyDescent="0.2">
      <c r="A617">
        <f t="shared" ref="A617:A620" si="159">A616</f>
        <v>123</v>
      </c>
      <c r="B617" t="s">
        <v>0</v>
      </c>
      <c r="C617" s="16" t="s">
        <v>1339</v>
      </c>
      <c r="D617" t="s">
        <v>8</v>
      </c>
      <c r="F617" t="b">
        <f t="shared" ref="F617:F620" si="160">D617=E617</f>
        <v>0</v>
      </c>
    </row>
    <row r="618" spans="1:6" ht="16" x14ac:dyDescent="0.2">
      <c r="A618">
        <f t="shared" si="159"/>
        <v>123</v>
      </c>
      <c r="B618" t="s">
        <v>1</v>
      </c>
      <c r="C618" s="16" t="s">
        <v>1271</v>
      </c>
      <c r="D618" t="s">
        <v>7</v>
      </c>
      <c r="F618" t="b">
        <f t="shared" si="160"/>
        <v>0</v>
      </c>
    </row>
    <row r="619" spans="1:6" ht="16" x14ac:dyDescent="0.2">
      <c r="A619">
        <f t="shared" si="159"/>
        <v>123</v>
      </c>
      <c r="B619" t="s">
        <v>2</v>
      </c>
      <c r="C619" s="16" t="s">
        <v>1340</v>
      </c>
      <c r="D619" t="s">
        <v>7</v>
      </c>
      <c r="F619" t="b">
        <f t="shared" si="160"/>
        <v>0</v>
      </c>
    </row>
    <row r="620" spans="1:6" ht="16" x14ac:dyDescent="0.2">
      <c r="A620">
        <f t="shared" si="159"/>
        <v>123</v>
      </c>
      <c r="B620" t="s">
        <v>3</v>
      </c>
      <c r="C620" s="16" t="s">
        <v>1251</v>
      </c>
      <c r="D620" t="s">
        <v>7</v>
      </c>
      <c r="F620" t="b">
        <f t="shared" si="160"/>
        <v>0</v>
      </c>
    </row>
    <row r="621" spans="1:6" ht="45" customHeight="1" x14ac:dyDescent="0.2">
      <c r="A621">
        <f t="shared" ref="A621" si="161">A620+1</f>
        <v>124</v>
      </c>
      <c r="B621" s="22" t="s">
        <v>1515</v>
      </c>
      <c r="C621" s="22"/>
      <c r="D621" s="22"/>
      <c r="E621" s="22"/>
      <c r="F621" s="22"/>
    </row>
    <row r="622" spans="1:6" ht="16" x14ac:dyDescent="0.2">
      <c r="A622">
        <f t="shared" ref="A622:A625" si="162">A621</f>
        <v>124</v>
      </c>
      <c r="B622" t="s">
        <v>0</v>
      </c>
      <c r="C622" s="16" t="s">
        <v>17</v>
      </c>
      <c r="D622" t="s">
        <v>7</v>
      </c>
      <c r="F622" t="b">
        <f t="shared" ref="F622:F625" si="163">D622=E622</f>
        <v>0</v>
      </c>
    </row>
    <row r="623" spans="1:6" ht="16" x14ac:dyDescent="0.2">
      <c r="A623">
        <f t="shared" si="162"/>
        <v>124</v>
      </c>
      <c r="B623" t="s">
        <v>1</v>
      </c>
      <c r="C623" s="16" t="s">
        <v>18</v>
      </c>
      <c r="D623" t="s">
        <v>8</v>
      </c>
      <c r="F623" t="b">
        <f t="shared" si="163"/>
        <v>0</v>
      </c>
    </row>
    <row r="624" spans="1:6" ht="16" x14ac:dyDescent="0.2">
      <c r="A624">
        <f t="shared" si="162"/>
        <v>124</v>
      </c>
      <c r="B624" t="s">
        <v>2</v>
      </c>
      <c r="C624" s="16" t="s">
        <v>19</v>
      </c>
      <c r="D624" t="s">
        <v>7</v>
      </c>
      <c r="F624" t="b">
        <f t="shared" si="163"/>
        <v>0</v>
      </c>
    </row>
    <row r="625" spans="1:6" ht="16" x14ac:dyDescent="0.2">
      <c r="A625">
        <f t="shared" si="162"/>
        <v>124</v>
      </c>
      <c r="B625" t="s">
        <v>3</v>
      </c>
      <c r="C625" s="16" t="s">
        <v>1516</v>
      </c>
      <c r="D625" t="s">
        <v>7</v>
      </c>
      <c r="F625" t="b">
        <f t="shared" si="163"/>
        <v>0</v>
      </c>
    </row>
    <row r="626" spans="1:6" ht="32.25" customHeight="1" x14ac:dyDescent="0.2">
      <c r="A626">
        <f t="shared" ref="A626" si="164">A625+1</f>
        <v>125</v>
      </c>
      <c r="B626" s="22" t="s">
        <v>1517</v>
      </c>
      <c r="C626" s="22"/>
      <c r="D626" s="22"/>
      <c r="E626" s="22"/>
      <c r="F626" s="22"/>
    </row>
    <row r="627" spans="1:6" ht="16" x14ac:dyDescent="0.2">
      <c r="A627">
        <f t="shared" ref="A627:A630" si="165">A626</f>
        <v>125</v>
      </c>
      <c r="B627" t="s">
        <v>0</v>
      </c>
      <c r="C627" s="16" t="s">
        <v>1518</v>
      </c>
      <c r="D627" t="s">
        <v>8</v>
      </c>
      <c r="F627" t="b">
        <f t="shared" ref="F627:F630" si="166">D627=E627</f>
        <v>0</v>
      </c>
    </row>
    <row r="628" spans="1:6" ht="16" x14ac:dyDescent="0.2">
      <c r="A628">
        <f t="shared" si="165"/>
        <v>125</v>
      </c>
      <c r="B628" t="s">
        <v>1</v>
      </c>
      <c r="C628" s="16" t="s">
        <v>1519</v>
      </c>
      <c r="D628" t="s">
        <v>7</v>
      </c>
      <c r="F628" t="b">
        <f t="shared" si="166"/>
        <v>0</v>
      </c>
    </row>
    <row r="629" spans="1:6" ht="16" x14ac:dyDescent="0.2">
      <c r="A629">
        <f t="shared" si="165"/>
        <v>125</v>
      </c>
      <c r="B629" t="s">
        <v>2</v>
      </c>
      <c r="C629" s="16" t="s">
        <v>21</v>
      </c>
      <c r="D629" t="s">
        <v>7</v>
      </c>
      <c r="F629" t="b">
        <f t="shared" si="166"/>
        <v>0</v>
      </c>
    </row>
    <row r="630" spans="1:6" ht="16" x14ac:dyDescent="0.2">
      <c r="A630">
        <f t="shared" si="165"/>
        <v>125</v>
      </c>
      <c r="B630" t="s">
        <v>3</v>
      </c>
      <c r="C630" s="16" t="s">
        <v>496</v>
      </c>
      <c r="D630" t="s">
        <v>7</v>
      </c>
      <c r="F630" t="b">
        <f t="shared" si="166"/>
        <v>0</v>
      </c>
    </row>
    <row r="631" spans="1:6" ht="45" customHeight="1" x14ac:dyDescent="0.2">
      <c r="A631">
        <f t="shared" ref="A631" si="167">A630+1</f>
        <v>126</v>
      </c>
      <c r="B631" s="22" t="s">
        <v>1520</v>
      </c>
      <c r="C631" s="22"/>
      <c r="D631" s="22"/>
      <c r="E631" s="22"/>
      <c r="F631" s="22"/>
    </row>
    <row r="632" spans="1:6" ht="16" x14ac:dyDescent="0.2">
      <c r="A632">
        <f t="shared" ref="A632:A635" si="168">A631</f>
        <v>126</v>
      </c>
      <c r="B632" t="s">
        <v>0</v>
      </c>
      <c r="C632" s="16" t="s">
        <v>1346</v>
      </c>
      <c r="D632" t="s">
        <v>8</v>
      </c>
      <c r="F632" t="b">
        <f t="shared" ref="F632:F635" si="169">D632=E632</f>
        <v>0</v>
      </c>
    </row>
    <row r="633" spans="1:6" ht="16" x14ac:dyDescent="0.2">
      <c r="A633">
        <f t="shared" si="168"/>
        <v>126</v>
      </c>
      <c r="B633" t="s">
        <v>1</v>
      </c>
      <c r="C633" s="16" t="s">
        <v>761</v>
      </c>
      <c r="D633" t="s">
        <v>8</v>
      </c>
      <c r="F633" t="b">
        <f t="shared" si="169"/>
        <v>0</v>
      </c>
    </row>
    <row r="634" spans="1:6" ht="16" x14ac:dyDescent="0.2">
      <c r="A634">
        <f t="shared" si="168"/>
        <v>126</v>
      </c>
      <c r="B634" t="s">
        <v>2</v>
      </c>
      <c r="C634" s="16" t="s">
        <v>1253</v>
      </c>
      <c r="D634" t="s">
        <v>7</v>
      </c>
      <c r="F634" t="b">
        <f t="shared" si="169"/>
        <v>0</v>
      </c>
    </row>
    <row r="635" spans="1:6" ht="16" x14ac:dyDescent="0.2">
      <c r="A635">
        <f t="shared" si="168"/>
        <v>126</v>
      </c>
      <c r="B635" t="s">
        <v>3</v>
      </c>
      <c r="C635" s="16" t="s">
        <v>1521</v>
      </c>
      <c r="D635" t="s">
        <v>7</v>
      </c>
      <c r="F635" t="b">
        <f t="shared" si="169"/>
        <v>0</v>
      </c>
    </row>
    <row r="636" spans="1:6" x14ac:dyDescent="0.2">
      <c r="A636">
        <f t="shared" ref="A636" si="170">A635+1</f>
        <v>127</v>
      </c>
      <c r="B636" s="22" t="s">
        <v>1522</v>
      </c>
      <c r="C636" s="22"/>
      <c r="D636" s="22"/>
      <c r="E636" s="22"/>
      <c r="F636" s="22"/>
    </row>
    <row r="637" spans="1:6" ht="16" x14ac:dyDescent="0.2">
      <c r="A637">
        <f t="shared" ref="A637:A640" si="171">A636</f>
        <v>127</v>
      </c>
      <c r="B637" t="s">
        <v>0</v>
      </c>
      <c r="C637" s="16" t="s">
        <v>1253</v>
      </c>
      <c r="D637" t="s">
        <v>7</v>
      </c>
      <c r="F637" t="b">
        <f t="shared" ref="F637:F640" si="172">D637=E637</f>
        <v>0</v>
      </c>
    </row>
    <row r="638" spans="1:6" ht="16" x14ac:dyDescent="0.2">
      <c r="A638">
        <f t="shared" si="171"/>
        <v>127</v>
      </c>
      <c r="B638" t="s">
        <v>1</v>
      </c>
      <c r="C638" s="16" t="s">
        <v>5</v>
      </c>
      <c r="D638" t="s">
        <v>7</v>
      </c>
      <c r="F638" t="b">
        <f t="shared" si="172"/>
        <v>0</v>
      </c>
    </row>
    <row r="639" spans="1:6" ht="16" x14ac:dyDescent="0.2">
      <c r="A639">
        <f t="shared" si="171"/>
        <v>127</v>
      </c>
      <c r="B639" t="s">
        <v>2</v>
      </c>
      <c r="C639" s="16" t="s">
        <v>1523</v>
      </c>
      <c r="D639" t="s">
        <v>8</v>
      </c>
      <c r="F639" t="b">
        <f t="shared" si="172"/>
        <v>0</v>
      </c>
    </row>
    <row r="640" spans="1:6" ht="16" x14ac:dyDescent="0.2">
      <c r="A640">
        <f t="shared" si="171"/>
        <v>127</v>
      </c>
      <c r="B640" t="s">
        <v>3</v>
      </c>
      <c r="C640" s="16" t="s">
        <v>1524</v>
      </c>
      <c r="D640" t="s">
        <v>7</v>
      </c>
      <c r="F640" t="b">
        <f t="shared" si="172"/>
        <v>0</v>
      </c>
    </row>
    <row r="641" spans="1:6" ht="30" customHeight="1" x14ac:dyDescent="0.2">
      <c r="A641">
        <f t="shared" ref="A641" si="173">A640+1</f>
        <v>128</v>
      </c>
      <c r="B641" s="22" t="s">
        <v>1525</v>
      </c>
      <c r="C641" s="22"/>
      <c r="D641" s="22"/>
      <c r="E641" s="22"/>
      <c r="F641" s="22"/>
    </row>
    <row r="642" spans="1:6" ht="16" x14ac:dyDescent="0.2">
      <c r="A642">
        <f t="shared" ref="A642:A645" si="174">A641</f>
        <v>128</v>
      </c>
      <c r="B642" t="s">
        <v>0</v>
      </c>
      <c r="C642" s="16" t="s">
        <v>16</v>
      </c>
      <c r="D642" t="s">
        <v>8</v>
      </c>
      <c r="F642" t="b">
        <f t="shared" ref="F642:F645" si="175">D642=E642</f>
        <v>0</v>
      </c>
    </row>
    <row r="643" spans="1:6" ht="16" x14ac:dyDescent="0.2">
      <c r="A643">
        <f t="shared" si="174"/>
        <v>128</v>
      </c>
      <c r="B643" t="s">
        <v>1</v>
      </c>
      <c r="C643" s="16" t="s">
        <v>32</v>
      </c>
      <c r="D643" t="s">
        <v>7</v>
      </c>
      <c r="F643" t="b">
        <f t="shared" si="175"/>
        <v>0</v>
      </c>
    </row>
    <row r="644" spans="1:6" ht="16" x14ac:dyDescent="0.2">
      <c r="A644">
        <f t="shared" si="174"/>
        <v>128</v>
      </c>
      <c r="B644" t="s">
        <v>2</v>
      </c>
      <c r="C644" s="16" t="s">
        <v>33</v>
      </c>
      <c r="D644" t="s">
        <v>8</v>
      </c>
      <c r="F644" t="b">
        <f t="shared" si="175"/>
        <v>0</v>
      </c>
    </row>
    <row r="645" spans="1:6" ht="16" x14ac:dyDescent="0.2">
      <c r="A645">
        <f t="shared" si="174"/>
        <v>128</v>
      </c>
      <c r="B645" t="s">
        <v>3</v>
      </c>
      <c r="C645" s="16" t="s">
        <v>1366</v>
      </c>
      <c r="D645" t="s">
        <v>7</v>
      </c>
      <c r="F645" t="b">
        <f t="shared" si="175"/>
        <v>0</v>
      </c>
    </row>
    <row r="646" spans="1:6" ht="30.75" customHeight="1" x14ac:dyDescent="0.2">
      <c r="A646">
        <f t="shared" ref="A646" si="176">A645+1</f>
        <v>129</v>
      </c>
      <c r="B646" s="22" t="s">
        <v>1526</v>
      </c>
      <c r="C646" s="22"/>
      <c r="D646" s="22"/>
      <c r="E646" s="22"/>
      <c r="F646" s="22"/>
    </row>
    <row r="647" spans="1:6" ht="16" x14ac:dyDescent="0.2">
      <c r="A647">
        <f t="shared" ref="A647:A650" si="177">A646</f>
        <v>129</v>
      </c>
      <c r="B647" t="s">
        <v>0</v>
      </c>
      <c r="C647" s="16" t="s">
        <v>1355</v>
      </c>
      <c r="D647" t="s">
        <v>7</v>
      </c>
      <c r="F647" t="b">
        <f t="shared" ref="F647:F650" si="178">D647=E647</f>
        <v>0</v>
      </c>
    </row>
    <row r="648" spans="1:6" ht="16" x14ac:dyDescent="0.2">
      <c r="A648">
        <f t="shared" si="177"/>
        <v>129</v>
      </c>
      <c r="B648" t="s">
        <v>1</v>
      </c>
      <c r="C648" s="16" t="s">
        <v>1356</v>
      </c>
      <c r="D648" t="s">
        <v>7</v>
      </c>
      <c r="F648" t="b">
        <f t="shared" si="178"/>
        <v>0</v>
      </c>
    </row>
    <row r="649" spans="1:6" ht="16" x14ac:dyDescent="0.2">
      <c r="A649">
        <f t="shared" si="177"/>
        <v>129</v>
      </c>
      <c r="B649" t="s">
        <v>2</v>
      </c>
      <c r="C649" s="16" t="s">
        <v>1527</v>
      </c>
      <c r="D649" t="s">
        <v>7</v>
      </c>
      <c r="F649" t="b">
        <f t="shared" si="178"/>
        <v>0</v>
      </c>
    </row>
    <row r="650" spans="1:6" ht="16" x14ac:dyDescent="0.2">
      <c r="A650">
        <f t="shared" si="177"/>
        <v>129</v>
      </c>
      <c r="B650" t="s">
        <v>3</v>
      </c>
      <c r="C650" s="16" t="s">
        <v>1528</v>
      </c>
      <c r="D650" t="s">
        <v>8</v>
      </c>
      <c r="F650" t="b">
        <f t="shared" si="178"/>
        <v>0</v>
      </c>
    </row>
    <row r="651" spans="1:6" ht="30" customHeight="1" x14ac:dyDescent="0.2">
      <c r="A651">
        <f t="shared" ref="A651" si="179">A650+1</f>
        <v>130</v>
      </c>
      <c r="B651" s="22" t="s">
        <v>1529</v>
      </c>
      <c r="C651" s="22"/>
      <c r="D651" s="22"/>
      <c r="E651" s="22"/>
      <c r="F651" s="22"/>
    </row>
    <row r="652" spans="1:6" ht="16" x14ac:dyDescent="0.2">
      <c r="A652">
        <f t="shared" ref="A652:A655" si="180">A651</f>
        <v>130</v>
      </c>
      <c r="B652" t="s">
        <v>0</v>
      </c>
      <c r="C652" s="16" t="s">
        <v>760</v>
      </c>
      <c r="D652" t="s">
        <v>7</v>
      </c>
      <c r="F652" t="b">
        <f t="shared" ref="F652:F655" si="181">D652=E652</f>
        <v>0</v>
      </c>
    </row>
    <row r="653" spans="1:6" ht="16" x14ac:dyDescent="0.2">
      <c r="A653">
        <f t="shared" si="180"/>
        <v>130</v>
      </c>
      <c r="B653" t="s">
        <v>1</v>
      </c>
      <c r="C653" s="16" t="s">
        <v>759</v>
      </c>
      <c r="D653" t="s">
        <v>8</v>
      </c>
      <c r="F653" t="b">
        <f t="shared" si="181"/>
        <v>0</v>
      </c>
    </row>
    <row r="654" spans="1:6" ht="16" x14ac:dyDescent="0.2">
      <c r="A654">
        <f t="shared" si="180"/>
        <v>130</v>
      </c>
      <c r="B654" t="s">
        <v>2</v>
      </c>
      <c r="C654" s="16" t="s">
        <v>621</v>
      </c>
      <c r="D654" t="s">
        <v>7</v>
      </c>
      <c r="F654" t="b">
        <f t="shared" si="181"/>
        <v>0</v>
      </c>
    </row>
    <row r="655" spans="1:6" ht="16" x14ac:dyDescent="0.2">
      <c r="A655">
        <f t="shared" si="180"/>
        <v>130</v>
      </c>
      <c r="B655" t="s">
        <v>3</v>
      </c>
      <c r="C655" s="16" t="s">
        <v>761</v>
      </c>
      <c r="D655" t="s">
        <v>7</v>
      </c>
      <c r="F655" t="b">
        <f t="shared" si="181"/>
        <v>0</v>
      </c>
    </row>
    <row r="656" spans="1:6" ht="32.25" customHeight="1" x14ac:dyDescent="0.2">
      <c r="A656">
        <f t="shared" ref="A656" si="182">A655+1</f>
        <v>131</v>
      </c>
      <c r="B656" s="22" t="s">
        <v>1530</v>
      </c>
      <c r="C656" s="22"/>
      <c r="D656" s="22"/>
      <c r="E656" s="22"/>
      <c r="F656" s="22"/>
    </row>
    <row r="657" spans="1:6" ht="16" x14ac:dyDescent="0.2">
      <c r="A657">
        <f t="shared" ref="A657:A660" si="183">A656</f>
        <v>131</v>
      </c>
      <c r="B657" t="s">
        <v>0</v>
      </c>
      <c r="C657" s="16" t="s">
        <v>1217</v>
      </c>
      <c r="D657" t="s">
        <v>7</v>
      </c>
      <c r="F657" t="b">
        <f t="shared" ref="F657:F660" si="184">D657=E657</f>
        <v>0</v>
      </c>
    </row>
    <row r="658" spans="1:6" ht="16" x14ac:dyDescent="0.2">
      <c r="A658">
        <f t="shared" si="183"/>
        <v>131</v>
      </c>
      <c r="B658" t="s">
        <v>1</v>
      </c>
      <c r="C658" s="16" t="s">
        <v>1531</v>
      </c>
      <c r="D658" t="s">
        <v>7</v>
      </c>
      <c r="F658" t="b">
        <f t="shared" si="184"/>
        <v>0</v>
      </c>
    </row>
    <row r="659" spans="1:6" ht="16" x14ac:dyDescent="0.2">
      <c r="A659">
        <f t="shared" si="183"/>
        <v>131</v>
      </c>
      <c r="B659" t="s">
        <v>2</v>
      </c>
      <c r="C659" s="16" t="s">
        <v>1362</v>
      </c>
      <c r="D659" t="s">
        <v>7</v>
      </c>
      <c r="F659" t="b">
        <f t="shared" si="184"/>
        <v>0</v>
      </c>
    </row>
    <row r="660" spans="1:6" ht="16" x14ac:dyDescent="0.2">
      <c r="A660">
        <f t="shared" si="183"/>
        <v>131</v>
      </c>
      <c r="B660" t="s">
        <v>3</v>
      </c>
      <c r="C660" s="16" t="s">
        <v>1360</v>
      </c>
      <c r="D660" t="s">
        <v>8</v>
      </c>
      <c r="F660" t="b">
        <f t="shared" si="184"/>
        <v>0</v>
      </c>
    </row>
    <row r="661" spans="1:6" ht="43.5" customHeight="1" x14ac:dyDescent="0.2">
      <c r="A661">
        <f t="shared" ref="A661" si="185">A660+1</f>
        <v>132</v>
      </c>
      <c r="B661" s="22" t="s">
        <v>1532</v>
      </c>
      <c r="C661" s="22"/>
      <c r="D661" s="22"/>
      <c r="E661" s="22"/>
      <c r="F661" s="22"/>
    </row>
    <row r="662" spans="1:6" ht="16" x14ac:dyDescent="0.2">
      <c r="A662">
        <f t="shared" ref="A662:A665" si="186">A661</f>
        <v>132</v>
      </c>
      <c r="B662" t="s">
        <v>0</v>
      </c>
      <c r="C662" s="16" t="s">
        <v>1533</v>
      </c>
      <c r="D662" t="s">
        <v>8</v>
      </c>
      <c r="F662" t="b">
        <f t="shared" ref="F662:F665" si="187">D662=E662</f>
        <v>0</v>
      </c>
    </row>
    <row r="663" spans="1:6" ht="16" x14ac:dyDescent="0.2">
      <c r="A663">
        <f t="shared" si="186"/>
        <v>132</v>
      </c>
      <c r="B663" t="s">
        <v>1</v>
      </c>
      <c r="C663" s="16" t="s">
        <v>33</v>
      </c>
      <c r="D663" t="s">
        <v>7</v>
      </c>
      <c r="F663" t="b">
        <f t="shared" si="187"/>
        <v>0</v>
      </c>
    </row>
    <row r="664" spans="1:6" ht="16" x14ac:dyDescent="0.2">
      <c r="A664">
        <f t="shared" si="186"/>
        <v>132</v>
      </c>
      <c r="B664" t="s">
        <v>2</v>
      </c>
      <c r="C664" s="16" t="s">
        <v>34</v>
      </c>
      <c r="D664" t="s">
        <v>7</v>
      </c>
      <c r="F664" t="b">
        <f t="shared" si="187"/>
        <v>0</v>
      </c>
    </row>
    <row r="665" spans="1:6" ht="16" x14ac:dyDescent="0.2">
      <c r="A665">
        <f t="shared" si="186"/>
        <v>132</v>
      </c>
      <c r="B665" t="s">
        <v>3</v>
      </c>
      <c r="C665" s="16" t="s">
        <v>1534</v>
      </c>
      <c r="D665" t="s">
        <v>7</v>
      </c>
      <c r="F665" t="b">
        <f t="shared" si="187"/>
        <v>0</v>
      </c>
    </row>
    <row r="666" spans="1:6" x14ac:dyDescent="0.2">
      <c r="A666">
        <f t="shared" ref="A666" si="188">A665+1</f>
        <v>133</v>
      </c>
      <c r="B666" s="22" t="s">
        <v>1535</v>
      </c>
      <c r="C666" s="22"/>
      <c r="D666" s="22"/>
      <c r="E666" s="22"/>
      <c r="F666" s="22"/>
    </row>
    <row r="667" spans="1:6" ht="16" x14ac:dyDescent="0.2">
      <c r="A667">
        <f t="shared" ref="A667:A670" si="189">A666</f>
        <v>133</v>
      </c>
      <c r="B667" t="s">
        <v>0</v>
      </c>
      <c r="C667" s="16" t="s">
        <v>1536</v>
      </c>
      <c r="D667" t="s">
        <v>8</v>
      </c>
      <c r="F667" t="b">
        <f t="shared" ref="F667:F670" si="190">D667=E667</f>
        <v>0</v>
      </c>
    </row>
    <row r="668" spans="1:6" ht="16" x14ac:dyDescent="0.2">
      <c r="A668">
        <f t="shared" si="189"/>
        <v>133</v>
      </c>
      <c r="B668" t="s">
        <v>1</v>
      </c>
      <c r="C668" s="16" t="s">
        <v>1537</v>
      </c>
      <c r="D668" t="s">
        <v>7</v>
      </c>
      <c r="F668" t="b">
        <f t="shared" si="190"/>
        <v>0</v>
      </c>
    </row>
    <row r="669" spans="1:6" ht="16" x14ac:dyDescent="0.2">
      <c r="A669">
        <f t="shared" si="189"/>
        <v>133</v>
      </c>
      <c r="B669" t="s">
        <v>2</v>
      </c>
      <c r="C669" s="16" t="s">
        <v>1538</v>
      </c>
      <c r="D669" t="s">
        <v>7</v>
      </c>
      <c r="F669" t="b">
        <f t="shared" si="190"/>
        <v>0</v>
      </c>
    </row>
    <row r="670" spans="1:6" ht="16" x14ac:dyDescent="0.2">
      <c r="A670">
        <f t="shared" si="189"/>
        <v>133</v>
      </c>
      <c r="B670" t="s">
        <v>3</v>
      </c>
      <c r="C670" s="16" t="s">
        <v>1539</v>
      </c>
      <c r="D670" t="s">
        <v>7</v>
      </c>
      <c r="F670" t="b">
        <f t="shared" si="190"/>
        <v>0</v>
      </c>
    </row>
    <row r="671" spans="1:6" ht="45.75" customHeight="1" x14ac:dyDescent="0.2">
      <c r="A671">
        <f t="shared" ref="A671" si="191">A670+1</f>
        <v>134</v>
      </c>
      <c r="B671" s="22" t="s">
        <v>1540</v>
      </c>
      <c r="C671" s="22"/>
      <c r="D671" s="22"/>
      <c r="E671" s="22"/>
      <c r="F671" s="22"/>
    </row>
    <row r="672" spans="1:6" ht="16" x14ac:dyDescent="0.2">
      <c r="A672">
        <f t="shared" ref="A672:A675" si="192">A671</f>
        <v>134</v>
      </c>
      <c r="B672" t="s">
        <v>0</v>
      </c>
      <c r="C672" s="16" t="s">
        <v>1541</v>
      </c>
      <c r="D672" t="s">
        <v>7</v>
      </c>
      <c r="F672" t="b">
        <f t="shared" ref="F672:F675" si="193">D672=E672</f>
        <v>0</v>
      </c>
    </row>
    <row r="673" spans="1:6" ht="16" x14ac:dyDescent="0.2">
      <c r="A673">
        <f t="shared" si="192"/>
        <v>134</v>
      </c>
      <c r="B673" t="s">
        <v>1</v>
      </c>
      <c r="C673" s="16" t="s">
        <v>1542</v>
      </c>
      <c r="D673" t="s">
        <v>7</v>
      </c>
      <c r="F673" t="b">
        <f t="shared" si="193"/>
        <v>0</v>
      </c>
    </row>
    <row r="674" spans="1:6" ht="16" x14ac:dyDescent="0.2">
      <c r="A674">
        <f t="shared" si="192"/>
        <v>134</v>
      </c>
      <c r="B674" t="s">
        <v>2</v>
      </c>
      <c r="C674" s="16" t="s">
        <v>1543</v>
      </c>
      <c r="D674" t="s">
        <v>7</v>
      </c>
      <c r="F674" t="b">
        <f t="shared" si="193"/>
        <v>0</v>
      </c>
    </row>
    <row r="675" spans="1:6" ht="16" x14ac:dyDescent="0.2">
      <c r="A675">
        <f t="shared" si="192"/>
        <v>134</v>
      </c>
      <c r="B675" t="s">
        <v>3</v>
      </c>
      <c r="C675" s="16" t="s">
        <v>1544</v>
      </c>
      <c r="D675" t="s">
        <v>8</v>
      </c>
      <c r="F675" t="b">
        <f t="shared" si="193"/>
        <v>0</v>
      </c>
    </row>
    <row r="676" spans="1:6" ht="29.25" customHeight="1" x14ac:dyDescent="0.2">
      <c r="A676">
        <f t="shared" ref="A676" si="194">A675+1</f>
        <v>135</v>
      </c>
      <c r="B676" s="22" t="s">
        <v>1545</v>
      </c>
      <c r="C676" s="22"/>
      <c r="D676" s="22"/>
      <c r="E676" s="22"/>
      <c r="F676" s="22"/>
    </row>
    <row r="677" spans="1:6" ht="16" x14ac:dyDescent="0.2">
      <c r="A677">
        <f t="shared" ref="A677:A680" si="195">A676</f>
        <v>135</v>
      </c>
      <c r="B677" t="s">
        <v>0</v>
      </c>
      <c r="C677" s="16" t="s">
        <v>1546</v>
      </c>
      <c r="D677" t="s">
        <v>7</v>
      </c>
      <c r="F677" t="b">
        <f t="shared" ref="F677:F680" si="196">D677=E677</f>
        <v>0</v>
      </c>
    </row>
    <row r="678" spans="1:6" ht="16" x14ac:dyDescent="0.2">
      <c r="A678">
        <f t="shared" si="195"/>
        <v>135</v>
      </c>
      <c r="B678" t="s">
        <v>1</v>
      </c>
      <c r="C678" s="16" t="s">
        <v>1547</v>
      </c>
      <c r="D678" t="s">
        <v>7</v>
      </c>
      <c r="F678" t="b">
        <f t="shared" si="196"/>
        <v>0</v>
      </c>
    </row>
    <row r="679" spans="1:6" ht="16" x14ac:dyDescent="0.2">
      <c r="A679">
        <f t="shared" si="195"/>
        <v>135</v>
      </c>
      <c r="B679" t="s">
        <v>2</v>
      </c>
      <c r="C679" s="16" t="s">
        <v>1548</v>
      </c>
      <c r="D679" t="s">
        <v>8</v>
      </c>
      <c r="F679" t="b">
        <f t="shared" si="196"/>
        <v>0</v>
      </c>
    </row>
    <row r="680" spans="1:6" ht="16" x14ac:dyDescent="0.2">
      <c r="A680">
        <f t="shared" si="195"/>
        <v>135</v>
      </c>
      <c r="B680" t="s">
        <v>3</v>
      </c>
      <c r="C680" s="16" t="s">
        <v>1549</v>
      </c>
      <c r="D680" t="s">
        <v>8</v>
      </c>
      <c r="F680" t="b">
        <f t="shared" si="196"/>
        <v>0</v>
      </c>
    </row>
    <row r="681" spans="1:6" x14ac:dyDescent="0.2">
      <c r="A681">
        <f t="shared" ref="A681" si="197">A680+1</f>
        <v>136</v>
      </c>
      <c r="B681" s="22" t="s">
        <v>1550</v>
      </c>
      <c r="C681" s="22"/>
      <c r="D681" s="22"/>
      <c r="E681" s="22"/>
      <c r="F681" s="22"/>
    </row>
    <row r="682" spans="1:6" ht="16" x14ac:dyDescent="0.2">
      <c r="A682">
        <f t="shared" ref="A682:A685" si="198">A681</f>
        <v>136</v>
      </c>
      <c r="B682" t="s">
        <v>0</v>
      </c>
      <c r="C682" s="16" t="s">
        <v>1551</v>
      </c>
      <c r="D682" t="s">
        <v>7</v>
      </c>
      <c r="F682" t="b">
        <f t="shared" ref="F682:F685" si="199">D682=E682</f>
        <v>0</v>
      </c>
    </row>
    <row r="683" spans="1:6" ht="16" x14ac:dyDescent="0.2">
      <c r="A683">
        <f t="shared" si="198"/>
        <v>136</v>
      </c>
      <c r="B683" t="s">
        <v>1</v>
      </c>
      <c r="C683" s="16" t="s">
        <v>32</v>
      </c>
      <c r="D683" t="s">
        <v>7</v>
      </c>
      <c r="F683" t="b">
        <f t="shared" si="199"/>
        <v>0</v>
      </c>
    </row>
    <row r="684" spans="1:6" ht="16" x14ac:dyDescent="0.2">
      <c r="A684">
        <f t="shared" si="198"/>
        <v>136</v>
      </c>
      <c r="B684" t="s">
        <v>2</v>
      </c>
      <c r="C684" s="16" t="s">
        <v>35</v>
      </c>
      <c r="D684" t="s">
        <v>8</v>
      </c>
      <c r="F684" t="b">
        <f t="shared" si="199"/>
        <v>0</v>
      </c>
    </row>
    <row r="685" spans="1:6" ht="16" x14ac:dyDescent="0.2">
      <c r="A685">
        <f t="shared" si="198"/>
        <v>136</v>
      </c>
      <c r="B685" t="s">
        <v>3</v>
      </c>
      <c r="C685" s="16" t="s">
        <v>36</v>
      </c>
      <c r="D685" t="s">
        <v>7</v>
      </c>
      <c r="F685" t="b">
        <f t="shared" si="199"/>
        <v>0</v>
      </c>
    </row>
    <row r="686" spans="1:6" ht="75.75" customHeight="1" x14ac:dyDescent="0.2">
      <c r="A686">
        <f t="shared" ref="A686" si="200">A685+1</f>
        <v>137</v>
      </c>
      <c r="B686" s="22" t="s">
        <v>1552</v>
      </c>
      <c r="C686" s="22"/>
      <c r="D686" s="22"/>
      <c r="E686" s="22"/>
      <c r="F686" s="22"/>
    </row>
    <row r="687" spans="1:6" ht="16" x14ac:dyDescent="0.2">
      <c r="A687">
        <f t="shared" ref="A687:A690" si="201">A686</f>
        <v>137</v>
      </c>
      <c r="B687" t="s">
        <v>0</v>
      </c>
      <c r="C687" s="16" t="s">
        <v>1553</v>
      </c>
      <c r="D687" t="s">
        <v>7</v>
      </c>
      <c r="F687" t="b">
        <f t="shared" ref="F687:F690" si="202">D687=E687</f>
        <v>0</v>
      </c>
    </row>
    <row r="688" spans="1:6" ht="16" x14ac:dyDescent="0.2">
      <c r="A688">
        <f t="shared" si="201"/>
        <v>137</v>
      </c>
      <c r="B688" t="s">
        <v>1</v>
      </c>
      <c r="C688" s="16" t="s">
        <v>1554</v>
      </c>
      <c r="D688" t="s">
        <v>8</v>
      </c>
      <c r="F688" t="b">
        <f t="shared" si="202"/>
        <v>0</v>
      </c>
    </row>
    <row r="689" spans="1:6" ht="16" x14ac:dyDescent="0.2">
      <c r="A689">
        <f t="shared" si="201"/>
        <v>137</v>
      </c>
      <c r="B689" t="s">
        <v>2</v>
      </c>
      <c r="C689" s="16" t="s">
        <v>1555</v>
      </c>
      <c r="D689" t="s">
        <v>7</v>
      </c>
      <c r="F689" t="b">
        <f t="shared" si="202"/>
        <v>0</v>
      </c>
    </row>
    <row r="690" spans="1:6" ht="16" x14ac:dyDescent="0.2">
      <c r="A690">
        <f t="shared" si="201"/>
        <v>137</v>
      </c>
      <c r="B690" t="s">
        <v>3</v>
      </c>
      <c r="C690" s="16" t="s">
        <v>1556</v>
      </c>
      <c r="D690" t="s">
        <v>7</v>
      </c>
      <c r="F690" t="b">
        <f t="shared" si="202"/>
        <v>0</v>
      </c>
    </row>
    <row r="691" spans="1:6" ht="30" customHeight="1" x14ac:dyDescent="0.2">
      <c r="A691">
        <f t="shared" ref="A691" si="203">A690+1</f>
        <v>138</v>
      </c>
      <c r="B691" s="22" t="s">
        <v>1557</v>
      </c>
      <c r="C691" s="22"/>
      <c r="D691" s="22"/>
      <c r="E691" s="22"/>
      <c r="F691" s="22"/>
    </row>
    <row r="692" spans="1:6" ht="16" x14ac:dyDescent="0.2">
      <c r="A692">
        <f t="shared" ref="A692:A695" si="204">A691</f>
        <v>138</v>
      </c>
      <c r="B692" t="s">
        <v>0</v>
      </c>
      <c r="C692" s="16" t="s">
        <v>1558</v>
      </c>
      <c r="D692" t="s">
        <v>7</v>
      </c>
      <c r="F692" t="b">
        <f t="shared" ref="F692:F695" si="205">D692=E692</f>
        <v>0</v>
      </c>
    </row>
    <row r="693" spans="1:6" ht="16" x14ac:dyDescent="0.2">
      <c r="A693">
        <f t="shared" si="204"/>
        <v>138</v>
      </c>
      <c r="B693" t="s">
        <v>1</v>
      </c>
      <c r="C693" s="16" t="s">
        <v>1559</v>
      </c>
      <c r="D693" t="s">
        <v>8</v>
      </c>
      <c r="F693" t="b">
        <f t="shared" si="205"/>
        <v>0</v>
      </c>
    </row>
    <row r="694" spans="1:6" ht="16" x14ac:dyDescent="0.2">
      <c r="A694">
        <f t="shared" si="204"/>
        <v>138</v>
      </c>
      <c r="B694" t="s">
        <v>2</v>
      </c>
      <c r="C694" s="16" t="s">
        <v>1560</v>
      </c>
      <c r="D694" t="s">
        <v>8</v>
      </c>
      <c r="F694" t="b">
        <f t="shared" si="205"/>
        <v>0</v>
      </c>
    </row>
    <row r="695" spans="1:6" ht="16" x14ac:dyDescent="0.2">
      <c r="A695">
        <f t="shared" si="204"/>
        <v>138</v>
      </c>
      <c r="B695" t="s">
        <v>3</v>
      </c>
      <c r="C695" s="16" t="s">
        <v>1561</v>
      </c>
      <c r="D695" t="s">
        <v>7</v>
      </c>
      <c r="F695" t="b">
        <f t="shared" si="205"/>
        <v>0</v>
      </c>
    </row>
    <row r="696" spans="1:6" x14ac:dyDescent="0.2">
      <c r="A696">
        <f t="shared" ref="A696" si="206">A695+1</f>
        <v>139</v>
      </c>
      <c r="B696" s="22" t="s">
        <v>1562</v>
      </c>
      <c r="C696" s="22"/>
      <c r="D696" s="22"/>
      <c r="E696" s="22"/>
      <c r="F696" s="22"/>
    </row>
    <row r="697" spans="1:6" ht="16" x14ac:dyDescent="0.2">
      <c r="A697">
        <f t="shared" ref="A697:A700" si="207">A696</f>
        <v>139</v>
      </c>
      <c r="B697" t="s">
        <v>0</v>
      </c>
      <c r="C697" s="16" t="s">
        <v>761</v>
      </c>
      <c r="D697" t="s">
        <v>7</v>
      </c>
      <c r="F697" t="b">
        <f t="shared" ref="F697:F700" si="208">D697=E697</f>
        <v>0</v>
      </c>
    </row>
    <row r="698" spans="1:6" ht="16" x14ac:dyDescent="0.2">
      <c r="A698">
        <f t="shared" si="207"/>
        <v>139</v>
      </c>
      <c r="B698" t="s">
        <v>1</v>
      </c>
      <c r="C698" s="16" t="s">
        <v>759</v>
      </c>
      <c r="D698" t="s">
        <v>7</v>
      </c>
      <c r="F698" t="b">
        <f t="shared" si="208"/>
        <v>0</v>
      </c>
    </row>
    <row r="699" spans="1:6" ht="16" x14ac:dyDescent="0.2">
      <c r="A699">
        <f t="shared" si="207"/>
        <v>139</v>
      </c>
      <c r="B699" t="s">
        <v>2</v>
      </c>
      <c r="C699" s="16" t="s">
        <v>621</v>
      </c>
      <c r="D699" t="s">
        <v>7</v>
      </c>
      <c r="F699" t="b">
        <f t="shared" si="208"/>
        <v>0</v>
      </c>
    </row>
    <row r="700" spans="1:6" ht="16" x14ac:dyDescent="0.2">
      <c r="A700">
        <f t="shared" si="207"/>
        <v>139</v>
      </c>
      <c r="B700" t="s">
        <v>3</v>
      </c>
      <c r="C700" s="16" t="s">
        <v>760</v>
      </c>
      <c r="D700" t="s">
        <v>8</v>
      </c>
      <c r="F700" t="b">
        <f t="shared" si="208"/>
        <v>0</v>
      </c>
    </row>
    <row r="701" spans="1:6" x14ac:dyDescent="0.2">
      <c r="A701">
        <f t="shared" ref="A701" si="209">A700+1</f>
        <v>140</v>
      </c>
      <c r="B701" s="22" t="s">
        <v>1563</v>
      </c>
      <c r="C701" s="22"/>
      <c r="D701" s="22"/>
      <c r="E701" s="22"/>
      <c r="F701" s="22"/>
    </row>
    <row r="702" spans="1:6" ht="16" x14ac:dyDescent="0.2">
      <c r="A702">
        <f t="shared" ref="A702:A705" si="210">A701</f>
        <v>140</v>
      </c>
      <c r="B702" t="s">
        <v>0</v>
      </c>
      <c r="C702" s="16" t="s">
        <v>1564</v>
      </c>
      <c r="D702" t="s">
        <v>7</v>
      </c>
      <c r="F702" t="b">
        <f t="shared" ref="F702:F705" si="211">D702=E702</f>
        <v>0</v>
      </c>
    </row>
    <row r="703" spans="1:6" ht="16" x14ac:dyDescent="0.2">
      <c r="A703">
        <f t="shared" si="210"/>
        <v>140</v>
      </c>
      <c r="B703" t="s">
        <v>1</v>
      </c>
      <c r="C703" s="16" t="s">
        <v>1565</v>
      </c>
      <c r="D703" t="s">
        <v>7</v>
      </c>
      <c r="F703" t="b">
        <f t="shared" si="211"/>
        <v>0</v>
      </c>
    </row>
    <row r="704" spans="1:6" ht="16" x14ac:dyDescent="0.2">
      <c r="A704">
        <f t="shared" si="210"/>
        <v>140</v>
      </c>
      <c r="B704" t="s">
        <v>2</v>
      </c>
      <c r="C704" s="16" t="s">
        <v>1566</v>
      </c>
      <c r="D704" t="s">
        <v>7</v>
      </c>
      <c r="F704" t="b">
        <f t="shared" si="211"/>
        <v>0</v>
      </c>
    </row>
    <row r="705" spans="1:6" ht="16" x14ac:dyDescent="0.2">
      <c r="A705">
        <f t="shared" si="210"/>
        <v>140</v>
      </c>
      <c r="B705" t="s">
        <v>3</v>
      </c>
      <c r="C705" s="16" t="s">
        <v>1567</v>
      </c>
      <c r="D705" t="s">
        <v>8</v>
      </c>
      <c r="F705" t="b">
        <f t="shared" si="211"/>
        <v>0</v>
      </c>
    </row>
    <row r="706" spans="1:6" ht="31.5" customHeight="1" x14ac:dyDescent="0.2">
      <c r="A706">
        <f t="shared" ref="A706" si="212">A705+1</f>
        <v>141</v>
      </c>
      <c r="B706" s="22" t="s">
        <v>1568</v>
      </c>
      <c r="C706" s="22"/>
      <c r="D706" s="22"/>
      <c r="E706" s="22"/>
      <c r="F706" s="22"/>
    </row>
    <row r="707" spans="1:6" ht="16" x14ac:dyDescent="0.2">
      <c r="A707">
        <f t="shared" ref="A707:A710" si="213">A706</f>
        <v>141</v>
      </c>
      <c r="B707" t="s">
        <v>0</v>
      </c>
      <c r="C707" s="16" t="s">
        <v>1196</v>
      </c>
      <c r="D707" t="s">
        <v>8</v>
      </c>
      <c r="F707" t="b">
        <f t="shared" ref="F707:F710" si="214">D707=E707</f>
        <v>0</v>
      </c>
    </row>
    <row r="708" spans="1:6" ht="16" x14ac:dyDescent="0.2">
      <c r="A708">
        <f t="shared" si="213"/>
        <v>141</v>
      </c>
      <c r="B708" t="s">
        <v>1</v>
      </c>
      <c r="C708" s="16" t="s">
        <v>1093</v>
      </c>
      <c r="D708" t="s">
        <v>7</v>
      </c>
      <c r="F708" t="b">
        <f t="shared" si="214"/>
        <v>0</v>
      </c>
    </row>
    <row r="709" spans="1:6" ht="16" x14ac:dyDescent="0.2">
      <c r="A709">
        <f t="shared" si="213"/>
        <v>141</v>
      </c>
      <c r="B709" t="s">
        <v>2</v>
      </c>
      <c r="C709" s="16" t="s">
        <v>1569</v>
      </c>
      <c r="D709" t="s">
        <v>7</v>
      </c>
      <c r="F709" t="b">
        <f t="shared" si="214"/>
        <v>0</v>
      </c>
    </row>
    <row r="710" spans="1:6" ht="16" x14ac:dyDescent="0.2">
      <c r="A710">
        <f t="shared" si="213"/>
        <v>141</v>
      </c>
      <c r="B710" t="s">
        <v>3</v>
      </c>
      <c r="C710" s="16" t="s">
        <v>1137</v>
      </c>
      <c r="D710" t="s">
        <v>7</v>
      </c>
      <c r="F710" t="b">
        <f t="shared" si="214"/>
        <v>0</v>
      </c>
    </row>
    <row r="711" spans="1:6" ht="31.5" customHeight="1" x14ac:dyDescent="0.2">
      <c r="A711">
        <f t="shared" ref="A711" si="215">A710+1</f>
        <v>142</v>
      </c>
      <c r="B711" s="22" t="s">
        <v>1570</v>
      </c>
      <c r="C711" s="22"/>
      <c r="D711" s="22"/>
      <c r="E711" s="22"/>
      <c r="F711" s="22"/>
    </row>
    <row r="712" spans="1:6" ht="16" x14ac:dyDescent="0.2">
      <c r="A712">
        <f t="shared" ref="A712:A715" si="216">A711</f>
        <v>142</v>
      </c>
      <c r="B712" t="s">
        <v>0</v>
      </c>
      <c r="C712" s="16" t="s">
        <v>1523</v>
      </c>
      <c r="D712" t="s">
        <v>7</v>
      </c>
      <c r="F712" t="b">
        <f t="shared" ref="F712:F715" si="217">D712=E712</f>
        <v>0</v>
      </c>
    </row>
    <row r="713" spans="1:6" ht="16" x14ac:dyDescent="0.2">
      <c r="A713">
        <f t="shared" si="216"/>
        <v>142</v>
      </c>
      <c r="B713" t="s">
        <v>1</v>
      </c>
      <c r="C713" s="16" t="s">
        <v>1101</v>
      </c>
      <c r="D713" t="s">
        <v>7</v>
      </c>
      <c r="F713" t="b">
        <f t="shared" si="217"/>
        <v>0</v>
      </c>
    </row>
    <row r="714" spans="1:6" ht="16" x14ac:dyDescent="0.2">
      <c r="A714">
        <f t="shared" si="216"/>
        <v>142</v>
      </c>
      <c r="B714" t="s">
        <v>2</v>
      </c>
      <c r="C714" s="16" t="s">
        <v>484</v>
      </c>
      <c r="D714" t="s">
        <v>8</v>
      </c>
      <c r="F714" t="b">
        <f t="shared" si="217"/>
        <v>0</v>
      </c>
    </row>
    <row r="715" spans="1:6" ht="16" x14ac:dyDescent="0.2">
      <c r="A715">
        <f t="shared" si="216"/>
        <v>142</v>
      </c>
      <c r="B715" t="s">
        <v>3</v>
      </c>
      <c r="C715" s="16" t="s">
        <v>1000</v>
      </c>
      <c r="D715" t="s">
        <v>7</v>
      </c>
      <c r="F715" t="b">
        <f t="shared" si="217"/>
        <v>0</v>
      </c>
    </row>
    <row r="716" spans="1:6" ht="30" customHeight="1" x14ac:dyDescent="0.2">
      <c r="A716">
        <f t="shared" ref="A716" si="218">A715+1</f>
        <v>143</v>
      </c>
      <c r="B716" s="22" t="s">
        <v>1571</v>
      </c>
      <c r="C716" s="22"/>
      <c r="D716" s="22"/>
      <c r="E716" s="22"/>
      <c r="F716" s="22"/>
    </row>
    <row r="717" spans="1:6" ht="16" x14ac:dyDescent="0.2">
      <c r="A717">
        <f t="shared" ref="A717:A720" si="219">A716</f>
        <v>143</v>
      </c>
      <c r="B717" t="s">
        <v>0</v>
      </c>
      <c r="C717" s="16" t="s">
        <v>1572</v>
      </c>
      <c r="D717" t="s">
        <v>7</v>
      </c>
      <c r="F717" t="b">
        <f t="shared" ref="F717:F720" si="220">D717=E717</f>
        <v>0</v>
      </c>
    </row>
    <row r="718" spans="1:6" ht="16" x14ac:dyDescent="0.2">
      <c r="A718">
        <f t="shared" si="219"/>
        <v>143</v>
      </c>
      <c r="B718" t="s">
        <v>1</v>
      </c>
      <c r="C718" s="16" t="s">
        <v>1573</v>
      </c>
      <c r="D718" t="s">
        <v>7</v>
      </c>
      <c r="F718" t="b">
        <f t="shared" si="220"/>
        <v>0</v>
      </c>
    </row>
    <row r="719" spans="1:6" ht="16" x14ac:dyDescent="0.2">
      <c r="A719">
        <f t="shared" si="219"/>
        <v>143</v>
      </c>
      <c r="B719" t="s">
        <v>2</v>
      </c>
      <c r="C719" s="16" t="s">
        <v>1574</v>
      </c>
      <c r="D719" t="s">
        <v>7</v>
      </c>
      <c r="F719" t="b">
        <f t="shared" si="220"/>
        <v>0</v>
      </c>
    </row>
    <row r="720" spans="1:6" ht="16" x14ac:dyDescent="0.2">
      <c r="A720">
        <f t="shared" si="219"/>
        <v>143</v>
      </c>
      <c r="B720" t="s">
        <v>3</v>
      </c>
      <c r="C720" s="16" t="s">
        <v>1575</v>
      </c>
      <c r="D720" t="s">
        <v>8</v>
      </c>
      <c r="F720" t="b">
        <f t="shared" si="220"/>
        <v>0</v>
      </c>
    </row>
    <row r="721" spans="1:6" x14ac:dyDescent="0.2">
      <c r="A721">
        <f t="shared" ref="A721" si="221">A720+1</f>
        <v>144</v>
      </c>
      <c r="B721" s="22" t="s">
        <v>1576</v>
      </c>
      <c r="C721" s="22"/>
      <c r="D721" s="22"/>
      <c r="E721" s="22"/>
      <c r="F721" s="22"/>
    </row>
    <row r="722" spans="1:6" ht="16" x14ac:dyDescent="0.2">
      <c r="A722">
        <f t="shared" ref="A722:A725" si="222">A721</f>
        <v>144</v>
      </c>
      <c r="B722" t="s">
        <v>0</v>
      </c>
      <c r="C722" s="16" t="s">
        <v>1253</v>
      </c>
      <c r="D722" t="s">
        <v>7</v>
      </c>
      <c r="F722" t="b">
        <f t="shared" ref="F722:F725" si="223">D722=E722</f>
        <v>0</v>
      </c>
    </row>
    <row r="723" spans="1:6" ht="16" x14ac:dyDescent="0.2">
      <c r="A723">
        <f t="shared" si="222"/>
        <v>144</v>
      </c>
      <c r="B723" t="s">
        <v>1</v>
      </c>
      <c r="C723" s="16" t="s">
        <v>1577</v>
      </c>
      <c r="D723" t="s">
        <v>7</v>
      </c>
      <c r="F723" t="b">
        <f t="shared" si="223"/>
        <v>0</v>
      </c>
    </row>
    <row r="724" spans="1:6" ht="16" x14ac:dyDescent="0.2">
      <c r="A724">
        <f t="shared" si="222"/>
        <v>144</v>
      </c>
      <c r="B724" t="s">
        <v>2</v>
      </c>
      <c r="C724" s="16" t="s">
        <v>761</v>
      </c>
      <c r="D724" t="s">
        <v>8</v>
      </c>
      <c r="F724" t="b">
        <f t="shared" si="223"/>
        <v>0</v>
      </c>
    </row>
    <row r="725" spans="1:6" ht="16" x14ac:dyDescent="0.2">
      <c r="A725">
        <f t="shared" si="222"/>
        <v>144</v>
      </c>
      <c r="B725" t="s">
        <v>3</v>
      </c>
      <c r="C725" s="16" t="s">
        <v>1578</v>
      </c>
      <c r="D725" t="s">
        <v>8</v>
      </c>
      <c r="F725" t="b">
        <f t="shared" si="223"/>
        <v>0</v>
      </c>
    </row>
    <row r="726" spans="1:6" x14ac:dyDescent="0.2">
      <c r="A726">
        <f t="shared" ref="A726" si="224">A725+1</f>
        <v>145</v>
      </c>
      <c r="B726" s="22" t="s">
        <v>1579</v>
      </c>
      <c r="C726" s="22"/>
      <c r="D726" s="22"/>
      <c r="E726" s="22"/>
      <c r="F726" s="22"/>
    </row>
    <row r="727" spans="1:6" ht="16" x14ac:dyDescent="0.2">
      <c r="A727">
        <f t="shared" ref="A727:A730" si="225">A726</f>
        <v>145</v>
      </c>
      <c r="B727" t="s">
        <v>0</v>
      </c>
      <c r="C727" s="16" t="s">
        <v>1253</v>
      </c>
      <c r="D727" t="s">
        <v>7</v>
      </c>
      <c r="F727" t="b">
        <f t="shared" ref="F727:F730" si="226">D727=E727</f>
        <v>0</v>
      </c>
    </row>
    <row r="728" spans="1:6" ht="16" x14ac:dyDescent="0.2">
      <c r="A728">
        <f t="shared" si="225"/>
        <v>145</v>
      </c>
      <c r="B728" t="s">
        <v>1</v>
      </c>
      <c r="C728" s="16" t="s">
        <v>1523</v>
      </c>
      <c r="D728" t="s">
        <v>8</v>
      </c>
      <c r="F728" t="b">
        <f t="shared" si="226"/>
        <v>0</v>
      </c>
    </row>
    <row r="729" spans="1:6" ht="16" x14ac:dyDescent="0.2">
      <c r="A729">
        <f t="shared" si="225"/>
        <v>145</v>
      </c>
      <c r="B729" t="s">
        <v>2</v>
      </c>
      <c r="C729" s="16" t="s">
        <v>1299</v>
      </c>
      <c r="D729" t="s">
        <v>7</v>
      </c>
      <c r="F729" t="b">
        <f t="shared" si="226"/>
        <v>0</v>
      </c>
    </row>
    <row r="730" spans="1:6" ht="16" x14ac:dyDescent="0.2">
      <c r="A730">
        <f t="shared" si="225"/>
        <v>145</v>
      </c>
      <c r="B730" t="s">
        <v>3</v>
      </c>
      <c r="C730" s="16" t="s">
        <v>1371</v>
      </c>
      <c r="D730" t="s">
        <v>7</v>
      </c>
      <c r="F730" t="b">
        <f t="shared" si="226"/>
        <v>0</v>
      </c>
    </row>
    <row r="731" spans="1:6" x14ac:dyDescent="0.2">
      <c r="A731">
        <f t="shared" ref="A731" si="227">A730+1</f>
        <v>146</v>
      </c>
      <c r="B731" s="22" t="s">
        <v>1580</v>
      </c>
      <c r="C731" s="22"/>
      <c r="D731" s="22"/>
      <c r="E731" s="22"/>
      <c r="F731" s="22"/>
    </row>
    <row r="732" spans="1:6" ht="16" x14ac:dyDescent="0.2">
      <c r="A732">
        <f t="shared" ref="A732:A735" si="228">A731</f>
        <v>146</v>
      </c>
      <c r="B732" t="s">
        <v>0</v>
      </c>
      <c r="C732" s="16" t="s">
        <v>1456</v>
      </c>
      <c r="D732" t="s">
        <v>7</v>
      </c>
      <c r="F732" t="b">
        <f t="shared" ref="F732:F735" si="229">D732=E732</f>
        <v>0</v>
      </c>
    </row>
    <row r="733" spans="1:6" ht="16" x14ac:dyDescent="0.2">
      <c r="A733">
        <f t="shared" si="228"/>
        <v>146</v>
      </c>
      <c r="B733" t="s">
        <v>1</v>
      </c>
      <c r="C733" s="16" t="s">
        <v>1364</v>
      </c>
      <c r="D733" t="s">
        <v>8</v>
      </c>
      <c r="F733" t="b">
        <f t="shared" si="229"/>
        <v>0</v>
      </c>
    </row>
    <row r="734" spans="1:6" ht="16" x14ac:dyDescent="0.2">
      <c r="A734">
        <f t="shared" si="228"/>
        <v>146</v>
      </c>
      <c r="B734" t="s">
        <v>2</v>
      </c>
      <c r="C734" s="16" t="s">
        <v>1254</v>
      </c>
      <c r="D734" t="s">
        <v>7</v>
      </c>
      <c r="F734" t="b">
        <f t="shared" si="229"/>
        <v>0</v>
      </c>
    </row>
    <row r="735" spans="1:6" ht="16" x14ac:dyDescent="0.2">
      <c r="A735">
        <f t="shared" si="228"/>
        <v>146</v>
      </c>
      <c r="B735" t="s">
        <v>3</v>
      </c>
      <c r="C735" s="16" t="s">
        <v>1581</v>
      </c>
      <c r="D735" t="s">
        <v>7</v>
      </c>
      <c r="F735" t="b">
        <f t="shared" si="229"/>
        <v>0</v>
      </c>
    </row>
    <row r="736" spans="1:6" ht="32.25" customHeight="1" x14ac:dyDescent="0.2">
      <c r="A736">
        <f t="shared" ref="A736" si="230">A735+1</f>
        <v>147</v>
      </c>
      <c r="B736" s="22" t="s">
        <v>1582</v>
      </c>
      <c r="C736" s="22"/>
      <c r="D736" s="22"/>
      <c r="E736" s="22"/>
      <c r="F736" s="22"/>
    </row>
    <row r="737" spans="1:6" ht="16" x14ac:dyDescent="0.2">
      <c r="A737">
        <f t="shared" ref="A737:A740" si="231">A736</f>
        <v>147</v>
      </c>
      <c r="B737" t="s">
        <v>0</v>
      </c>
      <c r="C737" s="16" t="s">
        <v>759</v>
      </c>
      <c r="D737" t="s">
        <v>7</v>
      </c>
      <c r="F737" t="b">
        <f t="shared" ref="F737:F740" si="232">D737=E737</f>
        <v>0</v>
      </c>
    </row>
    <row r="738" spans="1:6" ht="16" x14ac:dyDescent="0.2">
      <c r="A738">
        <f t="shared" si="231"/>
        <v>147</v>
      </c>
      <c r="B738" t="s">
        <v>1</v>
      </c>
      <c r="C738" s="16" t="s">
        <v>1331</v>
      </c>
      <c r="D738" t="s">
        <v>8</v>
      </c>
      <c r="F738" t="b">
        <f t="shared" si="232"/>
        <v>0</v>
      </c>
    </row>
    <row r="739" spans="1:6" ht="16" x14ac:dyDescent="0.2">
      <c r="A739">
        <f t="shared" si="231"/>
        <v>147</v>
      </c>
      <c r="B739" t="s">
        <v>2</v>
      </c>
      <c r="C739" s="16" t="s">
        <v>621</v>
      </c>
      <c r="D739" t="s">
        <v>7</v>
      </c>
      <c r="F739" t="b">
        <f t="shared" si="232"/>
        <v>0</v>
      </c>
    </row>
    <row r="740" spans="1:6" ht="16" x14ac:dyDescent="0.2">
      <c r="A740">
        <f t="shared" si="231"/>
        <v>147</v>
      </c>
      <c r="B740" t="s">
        <v>3</v>
      </c>
      <c r="C740" s="16" t="s">
        <v>760</v>
      </c>
      <c r="D740" t="s">
        <v>7</v>
      </c>
      <c r="F740" t="b">
        <f t="shared" si="232"/>
        <v>0</v>
      </c>
    </row>
    <row r="741" spans="1:6" x14ac:dyDescent="0.2">
      <c r="A741">
        <f t="shared" ref="A741" si="233">A740+1</f>
        <v>148</v>
      </c>
      <c r="B741" s="22" t="s">
        <v>1583</v>
      </c>
      <c r="C741" s="22"/>
      <c r="D741" s="22"/>
      <c r="E741" s="22"/>
      <c r="F741" s="22"/>
    </row>
    <row r="742" spans="1:6" ht="16" x14ac:dyDescent="0.2">
      <c r="A742">
        <f t="shared" ref="A742:A745" si="234">A741</f>
        <v>148</v>
      </c>
      <c r="B742" t="s">
        <v>0</v>
      </c>
      <c r="C742" s="16" t="s">
        <v>1584</v>
      </c>
      <c r="D742" t="s">
        <v>7</v>
      </c>
      <c r="F742" t="b">
        <f t="shared" ref="F742:F745" si="235">D742=E742</f>
        <v>0</v>
      </c>
    </row>
    <row r="743" spans="1:6" ht="16" x14ac:dyDescent="0.2">
      <c r="A743">
        <f t="shared" si="234"/>
        <v>148</v>
      </c>
      <c r="B743" t="s">
        <v>1</v>
      </c>
      <c r="C743" s="16" t="s">
        <v>1585</v>
      </c>
      <c r="D743" t="s">
        <v>7</v>
      </c>
      <c r="F743" t="b">
        <f t="shared" si="235"/>
        <v>0</v>
      </c>
    </row>
    <row r="744" spans="1:6" ht="16" x14ac:dyDescent="0.2">
      <c r="A744">
        <f t="shared" si="234"/>
        <v>148</v>
      </c>
      <c r="B744" t="s">
        <v>2</v>
      </c>
      <c r="C744" s="16" t="s">
        <v>1586</v>
      </c>
      <c r="D744" t="s">
        <v>8</v>
      </c>
      <c r="F744" t="b">
        <f t="shared" si="235"/>
        <v>0</v>
      </c>
    </row>
    <row r="745" spans="1:6" ht="16" x14ac:dyDescent="0.2">
      <c r="A745">
        <f t="shared" si="234"/>
        <v>148</v>
      </c>
      <c r="B745" t="s">
        <v>3</v>
      </c>
      <c r="C745" s="16" t="s">
        <v>1587</v>
      </c>
      <c r="D745" t="s">
        <v>7</v>
      </c>
      <c r="F745" t="b">
        <f t="shared" si="235"/>
        <v>0</v>
      </c>
    </row>
    <row r="746" spans="1:6" x14ac:dyDescent="0.2">
      <c r="A746">
        <f t="shared" ref="A746" si="236">A745+1</f>
        <v>149</v>
      </c>
      <c r="B746" s="22" t="s">
        <v>1588</v>
      </c>
      <c r="C746" s="22"/>
      <c r="D746" s="22"/>
      <c r="E746" s="22"/>
      <c r="F746" s="22"/>
    </row>
    <row r="747" spans="1:6" ht="16" x14ac:dyDescent="0.2">
      <c r="A747">
        <f t="shared" ref="A747:A752" si="237">A746</f>
        <v>149</v>
      </c>
      <c r="B747" t="s">
        <v>0</v>
      </c>
      <c r="C747" s="16" t="s">
        <v>1589</v>
      </c>
      <c r="D747" t="s">
        <v>8</v>
      </c>
      <c r="F747" t="b">
        <f t="shared" ref="F747:F752" si="238">D747=E747</f>
        <v>0</v>
      </c>
    </row>
    <row r="748" spans="1:6" ht="16" x14ac:dyDescent="0.2">
      <c r="A748">
        <f t="shared" si="237"/>
        <v>149</v>
      </c>
      <c r="B748" t="s">
        <v>1</v>
      </c>
      <c r="C748" s="16" t="s">
        <v>1590</v>
      </c>
      <c r="D748" t="s">
        <v>7</v>
      </c>
      <c r="F748" t="b">
        <f t="shared" si="238"/>
        <v>0</v>
      </c>
    </row>
    <row r="749" spans="1:6" ht="30.75" customHeight="1" x14ac:dyDescent="0.2">
      <c r="A749">
        <f t="shared" si="237"/>
        <v>149</v>
      </c>
      <c r="B749" t="s">
        <v>2</v>
      </c>
      <c r="C749" s="16" t="s">
        <v>1591</v>
      </c>
      <c r="D749" t="s">
        <v>8</v>
      </c>
      <c r="F749" t="b">
        <f t="shared" si="238"/>
        <v>0</v>
      </c>
    </row>
    <row r="750" spans="1:6" ht="16" x14ac:dyDescent="0.2">
      <c r="A750">
        <f t="shared" si="237"/>
        <v>149</v>
      </c>
      <c r="B750" t="s">
        <v>3</v>
      </c>
      <c r="C750" s="16" t="s">
        <v>1592</v>
      </c>
      <c r="D750" t="s">
        <v>8</v>
      </c>
      <c r="F750" t="b">
        <f t="shared" si="238"/>
        <v>0</v>
      </c>
    </row>
    <row r="751" spans="1:6" ht="16" x14ac:dyDescent="0.2">
      <c r="A751">
        <f t="shared" si="237"/>
        <v>149</v>
      </c>
      <c r="B751" t="s">
        <v>6</v>
      </c>
      <c r="C751" s="16" t="s">
        <v>1593</v>
      </c>
      <c r="D751" t="s">
        <v>7</v>
      </c>
      <c r="F751" t="b">
        <f t="shared" si="238"/>
        <v>0</v>
      </c>
    </row>
    <row r="752" spans="1:6" ht="16" x14ac:dyDescent="0.2">
      <c r="A752">
        <f t="shared" si="237"/>
        <v>149</v>
      </c>
      <c r="B752" t="s">
        <v>37</v>
      </c>
      <c r="C752" s="16" t="s">
        <v>1594</v>
      </c>
      <c r="D752" t="s">
        <v>8</v>
      </c>
      <c r="F752" t="b">
        <f t="shared" si="238"/>
        <v>0</v>
      </c>
    </row>
    <row r="753" spans="1:6" x14ac:dyDescent="0.2">
      <c r="A753">
        <f t="shared" ref="A753" si="239">A750+1</f>
        <v>150</v>
      </c>
      <c r="B753" s="22" t="s">
        <v>1595</v>
      </c>
      <c r="C753" s="22"/>
      <c r="D753" s="22"/>
      <c r="E753" s="22"/>
      <c r="F753" s="22"/>
    </row>
    <row r="754" spans="1:6" ht="16" x14ac:dyDescent="0.2">
      <c r="A754">
        <f t="shared" ref="A754:A757" si="240">A753</f>
        <v>150</v>
      </c>
      <c r="B754" t="s">
        <v>0</v>
      </c>
      <c r="C754" s="16" t="s">
        <v>5</v>
      </c>
      <c r="D754" t="s">
        <v>7</v>
      </c>
      <c r="F754" t="b">
        <f t="shared" ref="F754:F757" si="241">D754=E754</f>
        <v>0</v>
      </c>
    </row>
    <row r="755" spans="1:6" ht="16" x14ac:dyDescent="0.2">
      <c r="A755">
        <f t="shared" si="240"/>
        <v>150</v>
      </c>
      <c r="B755" t="s">
        <v>1</v>
      </c>
      <c r="C755" s="16" t="s">
        <v>1251</v>
      </c>
      <c r="D755" t="s">
        <v>8</v>
      </c>
      <c r="F755" t="b">
        <f t="shared" si="241"/>
        <v>0</v>
      </c>
    </row>
    <row r="756" spans="1:6" ht="16" x14ac:dyDescent="0.2">
      <c r="A756">
        <f t="shared" si="240"/>
        <v>150</v>
      </c>
      <c r="B756" t="s">
        <v>2</v>
      </c>
      <c r="C756" s="16" t="s">
        <v>760</v>
      </c>
      <c r="D756" t="s">
        <v>7</v>
      </c>
      <c r="F756" t="b">
        <f t="shared" si="241"/>
        <v>0</v>
      </c>
    </row>
    <row r="757" spans="1:6" ht="16" x14ac:dyDescent="0.2">
      <c r="A757">
        <f t="shared" si="240"/>
        <v>150</v>
      </c>
      <c r="B757" t="s">
        <v>3</v>
      </c>
      <c r="C757" s="16" t="s">
        <v>1596</v>
      </c>
      <c r="D757" t="s">
        <v>7</v>
      </c>
      <c r="F757" t="b">
        <f t="shared" si="241"/>
        <v>0</v>
      </c>
    </row>
    <row r="758" spans="1:6" x14ac:dyDescent="0.2">
      <c r="A758">
        <f t="shared" ref="A758" si="242">A757+1</f>
        <v>151</v>
      </c>
      <c r="B758" s="22" t="s">
        <v>1597</v>
      </c>
      <c r="C758" s="22"/>
      <c r="D758" s="22"/>
      <c r="E758" s="22"/>
      <c r="F758" s="22"/>
    </row>
    <row r="759" spans="1:6" ht="16" x14ac:dyDescent="0.2">
      <c r="A759">
        <f t="shared" ref="A759:A762" si="243">A758</f>
        <v>151</v>
      </c>
      <c r="B759" t="s">
        <v>0</v>
      </c>
      <c r="C759" s="16" t="s">
        <v>1598</v>
      </c>
      <c r="D759" t="s">
        <v>8</v>
      </c>
      <c r="F759" t="b">
        <f t="shared" ref="F759:F762" si="244">D759=E759</f>
        <v>0</v>
      </c>
    </row>
    <row r="760" spans="1:6" ht="16" x14ac:dyDescent="0.2">
      <c r="A760">
        <f t="shared" si="243"/>
        <v>151</v>
      </c>
      <c r="B760" t="s">
        <v>1</v>
      </c>
      <c r="C760" s="16" t="s">
        <v>1599</v>
      </c>
      <c r="D760" t="s">
        <v>7</v>
      </c>
      <c r="F760" t="b">
        <f t="shared" si="244"/>
        <v>0</v>
      </c>
    </row>
    <row r="761" spans="1:6" ht="16" x14ac:dyDescent="0.2">
      <c r="A761">
        <f t="shared" si="243"/>
        <v>151</v>
      </c>
      <c r="B761" t="s">
        <v>2</v>
      </c>
      <c r="C761" s="16" t="s">
        <v>1600</v>
      </c>
      <c r="D761" t="s">
        <v>7</v>
      </c>
      <c r="F761" t="b">
        <f t="shared" si="244"/>
        <v>0</v>
      </c>
    </row>
    <row r="762" spans="1:6" ht="16" x14ac:dyDescent="0.2">
      <c r="A762">
        <f t="shared" si="243"/>
        <v>151</v>
      </c>
      <c r="B762" t="s">
        <v>3</v>
      </c>
      <c r="C762" s="16" t="s">
        <v>1601</v>
      </c>
      <c r="D762" t="s">
        <v>7</v>
      </c>
      <c r="F762" t="b">
        <f t="shared" si="244"/>
        <v>0</v>
      </c>
    </row>
    <row r="763" spans="1:6" ht="30" customHeight="1" x14ac:dyDescent="0.2">
      <c r="A763">
        <f t="shared" ref="A763" si="245">A762+1</f>
        <v>152</v>
      </c>
      <c r="B763" s="22" t="s">
        <v>1224</v>
      </c>
      <c r="C763" s="22"/>
      <c r="D763" s="22"/>
      <c r="E763" s="22"/>
      <c r="F763" s="22"/>
    </row>
    <row r="764" spans="1:6" ht="16" x14ac:dyDescent="0.2">
      <c r="A764">
        <f t="shared" ref="A764:A767" si="246">A763</f>
        <v>152</v>
      </c>
      <c r="B764" t="s">
        <v>0</v>
      </c>
      <c r="C764" s="16" t="s">
        <v>1225</v>
      </c>
      <c r="D764" t="s">
        <v>7</v>
      </c>
      <c r="F764" t="b">
        <f t="shared" ref="F764:F767" si="247">D764=E764</f>
        <v>0</v>
      </c>
    </row>
    <row r="765" spans="1:6" ht="16" x14ac:dyDescent="0.2">
      <c r="A765">
        <f t="shared" si="246"/>
        <v>152</v>
      </c>
      <c r="B765" t="s">
        <v>1</v>
      </c>
      <c r="C765" s="16" t="s">
        <v>1602</v>
      </c>
      <c r="D765" t="s">
        <v>7</v>
      </c>
      <c r="F765" t="b">
        <f t="shared" si="247"/>
        <v>0</v>
      </c>
    </row>
    <row r="766" spans="1:6" ht="16" x14ac:dyDescent="0.2">
      <c r="A766">
        <f t="shared" si="246"/>
        <v>152</v>
      </c>
      <c r="B766" t="s">
        <v>2</v>
      </c>
      <c r="C766" s="16" t="s">
        <v>1603</v>
      </c>
      <c r="D766" t="s">
        <v>7</v>
      </c>
      <c r="F766" t="b">
        <f t="shared" si="247"/>
        <v>0</v>
      </c>
    </row>
    <row r="767" spans="1:6" ht="16" x14ac:dyDescent="0.2">
      <c r="A767">
        <f t="shared" si="246"/>
        <v>152</v>
      </c>
      <c r="B767" t="s">
        <v>3</v>
      </c>
      <c r="C767" s="16" t="s">
        <v>1227</v>
      </c>
      <c r="D767" t="s">
        <v>8</v>
      </c>
      <c r="F767" t="b">
        <f t="shared" si="247"/>
        <v>0</v>
      </c>
    </row>
    <row r="768" spans="1:6" ht="33.75" customHeight="1" x14ac:dyDescent="0.2">
      <c r="A768">
        <f t="shared" ref="A768" si="248">A767+1</f>
        <v>153</v>
      </c>
      <c r="B768" s="22" t="s">
        <v>1604</v>
      </c>
      <c r="C768" s="22"/>
      <c r="D768" s="22"/>
      <c r="E768" s="22"/>
      <c r="F768" s="22"/>
    </row>
    <row r="769" spans="1:6" ht="16" x14ac:dyDescent="0.2">
      <c r="A769">
        <f t="shared" ref="A769:A772" si="249">A768</f>
        <v>153</v>
      </c>
      <c r="B769" t="s">
        <v>0</v>
      </c>
      <c r="C769" s="16" t="s">
        <v>1605</v>
      </c>
      <c r="D769" t="s">
        <v>8</v>
      </c>
      <c r="F769" t="b">
        <f t="shared" ref="F769:F772" si="250">D769=E769</f>
        <v>0</v>
      </c>
    </row>
    <row r="770" spans="1:6" ht="16" x14ac:dyDescent="0.2">
      <c r="A770">
        <f t="shared" si="249"/>
        <v>153</v>
      </c>
      <c r="B770" t="s">
        <v>1</v>
      </c>
      <c r="C770" s="16" t="s">
        <v>1606</v>
      </c>
      <c r="D770" t="s">
        <v>8</v>
      </c>
      <c r="F770" t="b">
        <f t="shared" si="250"/>
        <v>0</v>
      </c>
    </row>
    <row r="771" spans="1:6" ht="16" x14ac:dyDescent="0.2">
      <c r="A771">
        <f t="shared" si="249"/>
        <v>153</v>
      </c>
      <c r="B771" t="s">
        <v>2</v>
      </c>
      <c r="C771" s="16" t="s">
        <v>696</v>
      </c>
      <c r="D771" t="s">
        <v>8</v>
      </c>
      <c r="F771" t="b">
        <f t="shared" si="250"/>
        <v>0</v>
      </c>
    </row>
    <row r="772" spans="1:6" ht="16" x14ac:dyDescent="0.2">
      <c r="A772">
        <f t="shared" si="249"/>
        <v>153</v>
      </c>
      <c r="B772" t="s">
        <v>3</v>
      </c>
      <c r="C772" s="16" t="s">
        <v>1497</v>
      </c>
      <c r="D772" t="s">
        <v>7</v>
      </c>
      <c r="F772" t="b">
        <f t="shared" si="250"/>
        <v>0</v>
      </c>
    </row>
    <row r="773" spans="1:6" ht="47.25" customHeight="1" x14ac:dyDescent="0.2">
      <c r="A773">
        <f t="shared" ref="A773" si="251">A772+1</f>
        <v>154</v>
      </c>
      <c r="B773" s="22" t="s">
        <v>1607</v>
      </c>
      <c r="C773" s="22"/>
      <c r="D773" s="22"/>
      <c r="E773" s="22"/>
      <c r="F773" s="22"/>
    </row>
    <row r="774" spans="1:6" ht="16" x14ac:dyDescent="0.2">
      <c r="A774">
        <f t="shared" ref="A774:A777" si="252">A773</f>
        <v>154</v>
      </c>
      <c r="B774" t="s">
        <v>0</v>
      </c>
      <c r="C774" s="16" t="s">
        <v>1370</v>
      </c>
      <c r="D774" t="s">
        <v>8</v>
      </c>
      <c r="F774" t="b">
        <f t="shared" ref="F774:F777" si="253">D774=E774</f>
        <v>0</v>
      </c>
    </row>
    <row r="775" spans="1:6" ht="16" x14ac:dyDescent="0.2">
      <c r="A775">
        <f t="shared" si="252"/>
        <v>154</v>
      </c>
      <c r="B775" t="s">
        <v>1</v>
      </c>
      <c r="C775" s="16" t="s">
        <v>1608</v>
      </c>
      <c r="D775" t="s">
        <v>7</v>
      </c>
      <c r="F775" t="b">
        <f t="shared" si="253"/>
        <v>0</v>
      </c>
    </row>
    <row r="776" spans="1:6" ht="16" x14ac:dyDescent="0.2">
      <c r="A776">
        <f t="shared" si="252"/>
        <v>154</v>
      </c>
      <c r="B776" t="s">
        <v>2</v>
      </c>
      <c r="C776" s="16" t="s">
        <v>1609</v>
      </c>
      <c r="D776" t="s">
        <v>7</v>
      </c>
      <c r="F776" t="b">
        <f t="shared" si="253"/>
        <v>0</v>
      </c>
    </row>
    <row r="777" spans="1:6" ht="16" x14ac:dyDescent="0.2">
      <c r="A777">
        <f t="shared" si="252"/>
        <v>154</v>
      </c>
      <c r="B777" t="s">
        <v>3</v>
      </c>
      <c r="C777" s="16" t="s">
        <v>1610</v>
      </c>
      <c r="D777" t="s">
        <v>7</v>
      </c>
      <c r="F777" t="b">
        <f t="shared" si="253"/>
        <v>0</v>
      </c>
    </row>
    <row r="778" spans="1:6" x14ac:dyDescent="0.2">
      <c r="A778">
        <f t="shared" ref="A778" si="254">A777+1</f>
        <v>155</v>
      </c>
      <c r="B778" s="22" t="s">
        <v>1611</v>
      </c>
      <c r="C778" s="22"/>
      <c r="D778" s="22"/>
      <c r="E778" s="22"/>
      <c r="F778" s="22"/>
    </row>
    <row r="779" spans="1:6" ht="16" x14ac:dyDescent="0.2">
      <c r="A779">
        <f t="shared" ref="A779:A782" si="255">A778</f>
        <v>155</v>
      </c>
      <c r="B779" t="s">
        <v>0</v>
      </c>
      <c r="C779" s="16" t="s">
        <v>1612</v>
      </c>
      <c r="D779" t="s">
        <v>7</v>
      </c>
      <c r="F779" t="b">
        <f t="shared" ref="F779:F782" si="256">D779=E779</f>
        <v>0</v>
      </c>
    </row>
    <row r="780" spans="1:6" ht="16" x14ac:dyDescent="0.2">
      <c r="A780">
        <f t="shared" si="255"/>
        <v>155</v>
      </c>
      <c r="B780" t="s">
        <v>1</v>
      </c>
      <c r="C780" s="16" t="s">
        <v>1613</v>
      </c>
      <c r="D780" t="s">
        <v>8</v>
      </c>
      <c r="F780" t="b">
        <f t="shared" si="256"/>
        <v>0</v>
      </c>
    </row>
    <row r="781" spans="1:6" ht="16" x14ac:dyDescent="0.2">
      <c r="A781">
        <f t="shared" si="255"/>
        <v>155</v>
      </c>
      <c r="B781" t="s">
        <v>2</v>
      </c>
      <c r="C781" s="16" t="s">
        <v>1614</v>
      </c>
      <c r="D781" t="s">
        <v>7</v>
      </c>
      <c r="F781" t="b">
        <f t="shared" si="256"/>
        <v>0</v>
      </c>
    </row>
    <row r="782" spans="1:6" ht="16" x14ac:dyDescent="0.2">
      <c r="A782">
        <f t="shared" si="255"/>
        <v>155</v>
      </c>
      <c r="B782" t="s">
        <v>3</v>
      </c>
      <c r="C782" s="16" t="s">
        <v>1615</v>
      </c>
      <c r="D782" t="s">
        <v>8</v>
      </c>
      <c r="F782" t="b">
        <f t="shared" si="256"/>
        <v>0</v>
      </c>
    </row>
    <row r="783" spans="1:6" ht="30" customHeight="1" x14ac:dyDescent="0.2">
      <c r="A783">
        <f t="shared" ref="A783" si="257">A782+1</f>
        <v>156</v>
      </c>
      <c r="B783" s="22" t="s">
        <v>1616</v>
      </c>
      <c r="C783" s="22"/>
      <c r="D783" s="22"/>
      <c r="E783" s="22"/>
      <c r="F783" s="22"/>
    </row>
    <row r="784" spans="1:6" ht="16" x14ac:dyDescent="0.2">
      <c r="A784">
        <f t="shared" ref="A784:A787" si="258">A783</f>
        <v>156</v>
      </c>
      <c r="B784" t="s">
        <v>0</v>
      </c>
      <c r="C784" s="16" t="s">
        <v>1211</v>
      </c>
      <c r="D784" t="s">
        <v>7</v>
      </c>
      <c r="F784" t="b">
        <f t="shared" ref="F784:F787" si="259">D784=E784</f>
        <v>0</v>
      </c>
    </row>
    <row r="785" spans="1:6" ht="16" x14ac:dyDescent="0.2">
      <c r="A785">
        <f t="shared" si="258"/>
        <v>156</v>
      </c>
      <c r="B785" t="s">
        <v>1</v>
      </c>
      <c r="C785" s="16" t="s">
        <v>16</v>
      </c>
      <c r="D785" t="s">
        <v>8</v>
      </c>
      <c r="F785" t="b">
        <f t="shared" si="259"/>
        <v>0</v>
      </c>
    </row>
    <row r="786" spans="1:6" ht="16" x14ac:dyDescent="0.2">
      <c r="A786">
        <f t="shared" si="258"/>
        <v>156</v>
      </c>
      <c r="B786" t="s">
        <v>2</v>
      </c>
      <c r="C786" s="16" t="s">
        <v>1617</v>
      </c>
      <c r="D786" t="s">
        <v>7</v>
      </c>
      <c r="F786" t="b">
        <f t="shared" si="259"/>
        <v>0</v>
      </c>
    </row>
    <row r="787" spans="1:6" ht="16" x14ac:dyDescent="0.2">
      <c r="A787">
        <f t="shared" si="258"/>
        <v>156</v>
      </c>
      <c r="B787" t="s">
        <v>3</v>
      </c>
      <c r="C787" s="16" t="s">
        <v>1618</v>
      </c>
      <c r="D787" t="s">
        <v>7</v>
      </c>
      <c r="F787" t="b">
        <f t="shared" si="259"/>
        <v>0</v>
      </c>
    </row>
    <row r="788" spans="1:6" ht="30" customHeight="1" x14ac:dyDescent="0.2">
      <c r="A788">
        <f t="shared" ref="A788" si="260">A787+1</f>
        <v>157</v>
      </c>
      <c r="B788" s="22" t="s">
        <v>1619</v>
      </c>
      <c r="C788" s="22"/>
      <c r="D788" s="22"/>
      <c r="E788" s="22"/>
      <c r="F788" s="22"/>
    </row>
    <row r="789" spans="1:6" ht="16" x14ac:dyDescent="0.2">
      <c r="A789">
        <f t="shared" ref="A789:A792" si="261">A788</f>
        <v>157</v>
      </c>
      <c r="B789" t="s">
        <v>0</v>
      </c>
      <c r="C789" s="16" t="s">
        <v>1620</v>
      </c>
      <c r="D789" t="s">
        <v>7</v>
      </c>
      <c r="F789" t="b">
        <f t="shared" ref="F789:F792" si="262">D789=E789</f>
        <v>0</v>
      </c>
    </row>
    <row r="790" spans="1:6" ht="16" x14ac:dyDescent="0.2">
      <c r="A790">
        <f t="shared" si="261"/>
        <v>157</v>
      </c>
      <c r="B790" t="s">
        <v>1</v>
      </c>
      <c r="C790" s="16" t="s">
        <v>759</v>
      </c>
      <c r="D790" t="s">
        <v>7</v>
      </c>
      <c r="F790" t="b">
        <f t="shared" si="262"/>
        <v>0</v>
      </c>
    </row>
    <row r="791" spans="1:6" ht="16" x14ac:dyDescent="0.2">
      <c r="A791">
        <f t="shared" si="261"/>
        <v>157</v>
      </c>
      <c r="B791" t="s">
        <v>2</v>
      </c>
      <c r="C791" s="16" t="s">
        <v>760</v>
      </c>
      <c r="D791" t="s">
        <v>7</v>
      </c>
      <c r="F791" t="b">
        <f t="shared" si="262"/>
        <v>0</v>
      </c>
    </row>
    <row r="792" spans="1:6" ht="16" x14ac:dyDescent="0.2">
      <c r="A792">
        <f t="shared" si="261"/>
        <v>157</v>
      </c>
      <c r="B792" t="s">
        <v>3</v>
      </c>
      <c r="C792" s="16" t="s">
        <v>1621</v>
      </c>
      <c r="D792" t="s">
        <v>8</v>
      </c>
      <c r="F792" t="b">
        <f t="shared" si="262"/>
        <v>0</v>
      </c>
    </row>
    <row r="793" spans="1:6" ht="45" customHeight="1" x14ac:dyDescent="0.2">
      <c r="A793">
        <f t="shared" ref="A793" si="263">A792+1</f>
        <v>158</v>
      </c>
      <c r="B793" s="22" t="s">
        <v>1622</v>
      </c>
      <c r="C793" s="22"/>
      <c r="D793" s="22"/>
      <c r="E793" s="22"/>
      <c r="F793" s="22"/>
    </row>
    <row r="794" spans="1:6" ht="16" x14ac:dyDescent="0.2">
      <c r="A794">
        <f t="shared" ref="A794:A797" si="264">A793</f>
        <v>158</v>
      </c>
      <c r="B794" t="s">
        <v>0</v>
      </c>
      <c r="C794" s="16" t="s">
        <v>1218</v>
      </c>
      <c r="D794" t="s">
        <v>7</v>
      </c>
      <c r="F794" t="b">
        <f t="shared" ref="F794:F797" si="265">D794=E794</f>
        <v>0</v>
      </c>
    </row>
    <row r="795" spans="1:6" ht="16" x14ac:dyDescent="0.2">
      <c r="A795">
        <f t="shared" si="264"/>
        <v>158</v>
      </c>
      <c r="B795" t="s">
        <v>1</v>
      </c>
      <c r="C795" s="16" t="s">
        <v>1093</v>
      </c>
      <c r="D795" t="s">
        <v>8</v>
      </c>
      <c r="F795" t="b">
        <f t="shared" si="265"/>
        <v>0</v>
      </c>
    </row>
    <row r="796" spans="1:6" ht="16" x14ac:dyDescent="0.2">
      <c r="A796">
        <f t="shared" si="264"/>
        <v>158</v>
      </c>
      <c r="B796" t="s">
        <v>2</v>
      </c>
      <c r="C796" s="16" t="s">
        <v>1242</v>
      </c>
      <c r="D796" t="s">
        <v>7</v>
      </c>
      <c r="F796" t="b">
        <f t="shared" si="265"/>
        <v>0</v>
      </c>
    </row>
    <row r="797" spans="1:6" ht="16" x14ac:dyDescent="0.2">
      <c r="A797">
        <f t="shared" si="264"/>
        <v>158</v>
      </c>
      <c r="B797" t="s">
        <v>3</v>
      </c>
      <c r="C797" s="16" t="s">
        <v>1243</v>
      </c>
      <c r="D797" t="s">
        <v>7</v>
      </c>
      <c r="F797" t="b">
        <f t="shared" si="265"/>
        <v>0</v>
      </c>
    </row>
    <row r="798" spans="1:6" ht="30" customHeight="1" x14ac:dyDescent="0.2">
      <c r="A798">
        <f t="shared" ref="A798" si="266">A797+1</f>
        <v>159</v>
      </c>
      <c r="B798" s="22" t="s">
        <v>1623</v>
      </c>
      <c r="C798" s="22"/>
      <c r="D798" s="22"/>
      <c r="E798" s="22"/>
      <c r="F798" s="22"/>
    </row>
    <row r="799" spans="1:6" ht="16" x14ac:dyDescent="0.2">
      <c r="A799">
        <f t="shared" ref="A799:A802" si="267">A798</f>
        <v>159</v>
      </c>
      <c r="B799" t="s">
        <v>0</v>
      </c>
      <c r="C799" s="16" t="s">
        <v>1253</v>
      </c>
      <c r="D799" t="s">
        <v>7</v>
      </c>
      <c r="F799" t="b">
        <f t="shared" ref="F799:F802" si="268">D799=E799</f>
        <v>0</v>
      </c>
    </row>
    <row r="800" spans="1:6" ht="16" x14ac:dyDescent="0.2">
      <c r="A800">
        <f t="shared" si="267"/>
        <v>159</v>
      </c>
      <c r="B800" t="s">
        <v>1</v>
      </c>
      <c r="C800" s="16" t="s">
        <v>1366</v>
      </c>
      <c r="D800" t="s">
        <v>7</v>
      </c>
      <c r="F800" t="b">
        <f t="shared" si="268"/>
        <v>0</v>
      </c>
    </row>
    <row r="801" spans="1:6" ht="16" x14ac:dyDescent="0.2">
      <c r="A801">
        <f t="shared" si="267"/>
        <v>159</v>
      </c>
      <c r="B801" t="s">
        <v>2</v>
      </c>
      <c r="C801" s="16" t="s">
        <v>1577</v>
      </c>
      <c r="D801" t="s">
        <v>8</v>
      </c>
      <c r="F801" t="b">
        <f t="shared" si="268"/>
        <v>0</v>
      </c>
    </row>
    <row r="802" spans="1:6" ht="16" x14ac:dyDescent="0.2">
      <c r="A802">
        <f t="shared" si="267"/>
        <v>159</v>
      </c>
      <c r="B802" t="s">
        <v>3</v>
      </c>
      <c r="C802" s="16" t="s">
        <v>759</v>
      </c>
      <c r="D802" t="s">
        <v>7</v>
      </c>
      <c r="F802" t="b">
        <f t="shared" si="268"/>
        <v>0</v>
      </c>
    </row>
    <row r="803" spans="1:6" ht="30" customHeight="1" x14ac:dyDescent="0.2">
      <c r="A803">
        <f t="shared" ref="A803" si="269">A802+1</f>
        <v>160</v>
      </c>
      <c r="B803" s="22" t="s">
        <v>1624</v>
      </c>
      <c r="C803" s="22"/>
      <c r="D803" s="22"/>
      <c r="E803" s="22"/>
      <c r="F803" s="22"/>
    </row>
    <row r="804" spans="1:6" ht="16" x14ac:dyDescent="0.2">
      <c r="A804">
        <f t="shared" ref="A804:A807" si="270">A803</f>
        <v>160</v>
      </c>
      <c r="B804" t="s">
        <v>0</v>
      </c>
      <c r="C804" s="16" t="s">
        <v>1253</v>
      </c>
      <c r="D804" t="s">
        <v>7</v>
      </c>
      <c r="F804" t="b">
        <f t="shared" ref="F804:F807" si="271">D804=E804</f>
        <v>0</v>
      </c>
    </row>
    <row r="805" spans="1:6" ht="16" x14ac:dyDescent="0.2">
      <c r="A805">
        <f t="shared" si="270"/>
        <v>160</v>
      </c>
      <c r="B805" t="s">
        <v>1</v>
      </c>
      <c r="C805" s="16" t="s">
        <v>1366</v>
      </c>
      <c r="D805" t="s">
        <v>8</v>
      </c>
      <c r="F805" t="b">
        <f t="shared" si="271"/>
        <v>0</v>
      </c>
    </row>
    <row r="806" spans="1:6" ht="16" x14ac:dyDescent="0.2">
      <c r="A806">
        <f t="shared" si="270"/>
        <v>160</v>
      </c>
      <c r="B806" t="s">
        <v>2</v>
      </c>
      <c r="C806" s="16" t="s">
        <v>1577</v>
      </c>
      <c r="D806" t="s">
        <v>7</v>
      </c>
      <c r="F806" t="b">
        <f t="shared" si="271"/>
        <v>0</v>
      </c>
    </row>
    <row r="807" spans="1:6" ht="16" x14ac:dyDescent="0.2">
      <c r="A807">
        <f t="shared" si="270"/>
        <v>160</v>
      </c>
      <c r="B807" t="s">
        <v>3</v>
      </c>
      <c r="C807" s="16" t="s">
        <v>759</v>
      </c>
      <c r="D807" t="s">
        <v>7</v>
      </c>
      <c r="F807" t="b">
        <f t="shared" si="271"/>
        <v>0</v>
      </c>
    </row>
    <row r="808" spans="1:6" ht="30.75" customHeight="1" x14ac:dyDescent="0.2">
      <c r="A808">
        <f t="shared" ref="A808" si="272">A807+1</f>
        <v>161</v>
      </c>
      <c r="B808" s="22" t="s">
        <v>1625</v>
      </c>
      <c r="C808" s="22"/>
      <c r="D808" s="22"/>
      <c r="E808" s="22"/>
      <c r="F808" s="22"/>
    </row>
    <row r="809" spans="1:6" ht="16" x14ac:dyDescent="0.2">
      <c r="A809">
        <f t="shared" ref="A809:A812" si="273">A808</f>
        <v>161</v>
      </c>
      <c r="B809" t="s">
        <v>0</v>
      </c>
      <c r="C809" s="16" t="s">
        <v>1626</v>
      </c>
      <c r="D809" t="s">
        <v>7</v>
      </c>
      <c r="F809" t="b">
        <f t="shared" ref="F809:F812" si="274">D809=E809</f>
        <v>0</v>
      </c>
    </row>
    <row r="810" spans="1:6" ht="16" x14ac:dyDescent="0.2">
      <c r="A810">
        <f t="shared" si="273"/>
        <v>161</v>
      </c>
      <c r="B810" t="s">
        <v>1</v>
      </c>
      <c r="C810" s="16" t="s">
        <v>15</v>
      </c>
      <c r="D810" t="s">
        <v>8</v>
      </c>
      <c r="F810" t="b">
        <f t="shared" si="274"/>
        <v>0</v>
      </c>
    </row>
    <row r="811" spans="1:6" ht="16" x14ac:dyDescent="0.2">
      <c r="A811">
        <f t="shared" si="273"/>
        <v>161</v>
      </c>
      <c r="B811" t="s">
        <v>2</v>
      </c>
      <c r="C811" s="16" t="s">
        <v>38</v>
      </c>
      <c r="D811" t="s">
        <v>7</v>
      </c>
      <c r="F811" t="b">
        <f t="shared" si="274"/>
        <v>0</v>
      </c>
    </row>
    <row r="812" spans="1:6" ht="16" x14ac:dyDescent="0.2">
      <c r="A812">
        <f t="shared" si="273"/>
        <v>161</v>
      </c>
      <c r="B812" t="s">
        <v>3</v>
      </c>
      <c r="C812" s="16" t="s">
        <v>16</v>
      </c>
      <c r="D812" t="s">
        <v>7</v>
      </c>
      <c r="F812" t="b">
        <f t="shared" si="274"/>
        <v>0</v>
      </c>
    </row>
    <row r="813" spans="1:6" x14ac:dyDescent="0.2">
      <c r="A813">
        <f t="shared" ref="A813" si="275">A812+1</f>
        <v>162</v>
      </c>
      <c r="B813" s="22" t="s">
        <v>1627</v>
      </c>
      <c r="C813" s="22"/>
      <c r="D813" s="22"/>
      <c r="E813" s="22"/>
      <c r="F813" s="22"/>
    </row>
    <row r="814" spans="1:6" ht="16" x14ac:dyDescent="0.2">
      <c r="A814">
        <f t="shared" ref="A814:A817" si="276">A813</f>
        <v>162</v>
      </c>
      <c r="B814" t="s">
        <v>0</v>
      </c>
      <c r="C814" s="16" t="s">
        <v>1000</v>
      </c>
      <c r="D814" t="s">
        <v>7</v>
      </c>
      <c r="F814" t="b">
        <f t="shared" ref="F814:F817" si="277">D814=E814</f>
        <v>0</v>
      </c>
    </row>
    <row r="815" spans="1:6" ht="16" x14ac:dyDescent="0.2">
      <c r="A815">
        <f t="shared" si="276"/>
        <v>162</v>
      </c>
      <c r="B815" t="s">
        <v>1</v>
      </c>
      <c r="C815" s="16" t="s">
        <v>1101</v>
      </c>
      <c r="D815" t="s">
        <v>7</v>
      </c>
      <c r="F815" t="b">
        <f t="shared" si="277"/>
        <v>0</v>
      </c>
    </row>
    <row r="816" spans="1:6" ht="16" x14ac:dyDescent="0.2">
      <c r="A816">
        <f t="shared" si="276"/>
        <v>162</v>
      </c>
      <c r="B816" t="s">
        <v>2</v>
      </c>
      <c r="C816" s="16" t="s">
        <v>1628</v>
      </c>
      <c r="D816" t="s">
        <v>7</v>
      </c>
      <c r="F816" t="b">
        <f t="shared" si="277"/>
        <v>0</v>
      </c>
    </row>
    <row r="817" spans="1:6" ht="16" x14ac:dyDescent="0.2">
      <c r="A817">
        <f t="shared" si="276"/>
        <v>162</v>
      </c>
      <c r="B817" t="s">
        <v>3</v>
      </c>
      <c r="C817" s="16" t="s">
        <v>1213</v>
      </c>
      <c r="D817" t="s">
        <v>8</v>
      </c>
      <c r="F817" t="b">
        <f t="shared" si="277"/>
        <v>0</v>
      </c>
    </row>
    <row r="818" spans="1:6" x14ac:dyDescent="0.2">
      <c r="A818">
        <f t="shared" ref="A818" si="278">A817+1</f>
        <v>163</v>
      </c>
      <c r="B818" s="22" t="s">
        <v>1629</v>
      </c>
      <c r="C818" s="22"/>
      <c r="D818" s="22"/>
      <c r="E818" s="22"/>
      <c r="F818" s="22"/>
    </row>
    <row r="819" spans="1:6" ht="16" x14ac:dyDescent="0.2">
      <c r="A819">
        <f t="shared" ref="A819:A822" si="279">A818</f>
        <v>163</v>
      </c>
      <c r="B819" t="s">
        <v>0</v>
      </c>
      <c r="C819" s="16" t="s">
        <v>5</v>
      </c>
      <c r="D819" t="s">
        <v>7</v>
      </c>
      <c r="F819" t="b">
        <f t="shared" ref="F819:F822" si="280">D819=E819</f>
        <v>0</v>
      </c>
    </row>
    <row r="820" spans="1:6" ht="16" x14ac:dyDescent="0.2">
      <c r="A820">
        <f t="shared" si="279"/>
        <v>163</v>
      </c>
      <c r="B820" t="s">
        <v>1</v>
      </c>
      <c r="C820" s="16" t="s">
        <v>1620</v>
      </c>
      <c r="D820" t="s">
        <v>8</v>
      </c>
      <c r="F820" t="b">
        <f t="shared" si="280"/>
        <v>0</v>
      </c>
    </row>
    <row r="821" spans="1:6" ht="16" x14ac:dyDescent="0.2">
      <c r="A821">
        <f t="shared" si="279"/>
        <v>163</v>
      </c>
      <c r="B821" t="s">
        <v>2</v>
      </c>
      <c r="C821" s="16" t="s">
        <v>1621</v>
      </c>
      <c r="D821" t="s">
        <v>7</v>
      </c>
      <c r="F821" t="b">
        <f t="shared" si="280"/>
        <v>0</v>
      </c>
    </row>
    <row r="822" spans="1:6" ht="16" x14ac:dyDescent="0.2">
      <c r="A822">
        <f t="shared" si="279"/>
        <v>163</v>
      </c>
      <c r="B822" t="s">
        <v>3</v>
      </c>
      <c r="C822" s="16" t="s">
        <v>1299</v>
      </c>
      <c r="D822" t="s">
        <v>7</v>
      </c>
      <c r="F822" t="b">
        <f t="shared" si="280"/>
        <v>0</v>
      </c>
    </row>
    <row r="823" spans="1:6" ht="30" customHeight="1" x14ac:dyDescent="0.2">
      <c r="A823">
        <f t="shared" ref="A823" si="281">A822+1</f>
        <v>164</v>
      </c>
      <c r="B823" s="22" t="s">
        <v>1630</v>
      </c>
      <c r="C823" s="22"/>
      <c r="D823" s="22"/>
      <c r="E823" s="22"/>
      <c r="F823" s="22"/>
    </row>
    <row r="824" spans="1:6" ht="16" x14ac:dyDescent="0.2">
      <c r="A824">
        <f t="shared" ref="A824:A827" si="282">A823</f>
        <v>164</v>
      </c>
      <c r="B824" t="s">
        <v>0</v>
      </c>
      <c r="C824" s="16" t="s">
        <v>1631</v>
      </c>
      <c r="D824" t="s">
        <v>7</v>
      </c>
      <c r="F824" t="b">
        <f t="shared" ref="F824:F827" si="283">D824=E824</f>
        <v>0</v>
      </c>
    </row>
    <row r="825" spans="1:6" ht="16" x14ac:dyDescent="0.2">
      <c r="A825">
        <f t="shared" si="282"/>
        <v>164</v>
      </c>
      <c r="B825" t="s">
        <v>1</v>
      </c>
      <c r="C825" s="16" t="s">
        <v>1632</v>
      </c>
      <c r="D825" t="s">
        <v>7</v>
      </c>
      <c r="F825" t="b">
        <f t="shared" si="283"/>
        <v>0</v>
      </c>
    </row>
    <row r="826" spans="1:6" ht="16" x14ac:dyDescent="0.2">
      <c r="A826">
        <f t="shared" si="282"/>
        <v>164</v>
      </c>
      <c r="B826" t="s">
        <v>2</v>
      </c>
      <c r="C826" s="16" t="s">
        <v>1633</v>
      </c>
      <c r="D826" t="s">
        <v>8</v>
      </c>
      <c r="F826" t="b">
        <f t="shared" si="283"/>
        <v>0</v>
      </c>
    </row>
    <row r="827" spans="1:6" ht="16" x14ac:dyDescent="0.2">
      <c r="A827">
        <f t="shared" si="282"/>
        <v>164</v>
      </c>
      <c r="B827" t="s">
        <v>3</v>
      </c>
      <c r="C827" s="16" t="s">
        <v>1634</v>
      </c>
      <c r="D827" t="s">
        <v>7</v>
      </c>
      <c r="F827" t="b">
        <f t="shared" si="283"/>
        <v>0</v>
      </c>
    </row>
    <row r="828" spans="1:6" ht="28.5" customHeight="1" x14ac:dyDescent="0.2">
      <c r="A828">
        <f t="shared" ref="A828" si="284">A827+1</f>
        <v>165</v>
      </c>
      <c r="B828" s="22" t="s">
        <v>1635</v>
      </c>
      <c r="C828" s="22"/>
      <c r="D828" s="22"/>
      <c r="E828" s="22"/>
      <c r="F828" s="22"/>
    </row>
    <row r="829" spans="1:6" ht="16" x14ac:dyDescent="0.2">
      <c r="A829">
        <f t="shared" ref="A829:A832" si="285">A828</f>
        <v>165</v>
      </c>
      <c r="B829" t="s">
        <v>0</v>
      </c>
      <c r="C829" s="16" t="s">
        <v>1636</v>
      </c>
      <c r="D829" t="s">
        <v>7</v>
      </c>
      <c r="F829" t="b">
        <f t="shared" ref="F829:F832" si="286">D829=E829</f>
        <v>0</v>
      </c>
    </row>
    <row r="830" spans="1:6" ht="16" x14ac:dyDescent="0.2">
      <c r="A830">
        <f t="shared" si="285"/>
        <v>165</v>
      </c>
      <c r="B830" t="s">
        <v>1</v>
      </c>
      <c r="C830" s="16" t="s">
        <v>1637</v>
      </c>
      <c r="D830" t="s">
        <v>8</v>
      </c>
      <c r="F830" t="b">
        <f t="shared" si="286"/>
        <v>0</v>
      </c>
    </row>
    <row r="831" spans="1:6" ht="16" x14ac:dyDescent="0.2">
      <c r="A831">
        <f t="shared" si="285"/>
        <v>165</v>
      </c>
      <c r="B831" t="s">
        <v>2</v>
      </c>
      <c r="C831" s="16" t="s">
        <v>1638</v>
      </c>
      <c r="D831" t="s">
        <v>8</v>
      </c>
      <c r="F831" t="b">
        <f t="shared" si="286"/>
        <v>0</v>
      </c>
    </row>
    <row r="832" spans="1:6" ht="16" x14ac:dyDescent="0.2">
      <c r="A832">
        <f t="shared" si="285"/>
        <v>165</v>
      </c>
      <c r="B832" t="s">
        <v>3</v>
      </c>
      <c r="C832" s="16" t="s">
        <v>1639</v>
      </c>
      <c r="D832" t="s">
        <v>7</v>
      </c>
      <c r="F832" t="b">
        <f t="shared" si="286"/>
        <v>0</v>
      </c>
    </row>
    <row r="833" spans="1:6" x14ac:dyDescent="0.2">
      <c r="A833">
        <f t="shared" ref="A833" si="287">A832+1</f>
        <v>166</v>
      </c>
      <c r="B833" s="22" t="s">
        <v>1640</v>
      </c>
      <c r="C833" s="22"/>
      <c r="D833" s="22"/>
      <c r="E833" s="22"/>
      <c r="F833" s="22"/>
    </row>
    <row r="834" spans="1:6" ht="16" x14ac:dyDescent="0.2">
      <c r="A834">
        <f t="shared" ref="A834:A837" si="288">A833</f>
        <v>166</v>
      </c>
      <c r="B834" t="s">
        <v>0</v>
      </c>
      <c r="C834" s="16" t="s">
        <v>15</v>
      </c>
      <c r="D834" t="s">
        <v>7</v>
      </c>
      <c r="F834" t="b">
        <f t="shared" ref="F834:F837" si="289">D834=E834</f>
        <v>0</v>
      </c>
    </row>
    <row r="835" spans="1:6" ht="16" x14ac:dyDescent="0.2">
      <c r="A835">
        <f t="shared" si="288"/>
        <v>166</v>
      </c>
      <c r="B835" t="s">
        <v>1</v>
      </c>
      <c r="C835" s="16" t="s">
        <v>1626</v>
      </c>
      <c r="D835" t="s">
        <v>7</v>
      </c>
      <c r="F835" t="b">
        <f t="shared" si="289"/>
        <v>0</v>
      </c>
    </row>
    <row r="836" spans="1:6" ht="16" x14ac:dyDescent="0.2">
      <c r="A836">
        <f t="shared" si="288"/>
        <v>166</v>
      </c>
      <c r="B836" t="s">
        <v>2</v>
      </c>
      <c r="C836" s="16" t="s">
        <v>39</v>
      </c>
      <c r="D836" t="s">
        <v>7</v>
      </c>
      <c r="F836" t="b">
        <f t="shared" si="289"/>
        <v>0</v>
      </c>
    </row>
    <row r="837" spans="1:6" ht="16" x14ac:dyDescent="0.2">
      <c r="A837">
        <f t="shared" si="288"/>
        <v>166</v>
      </c>
      <c r="B837" t="s">
        <v>3</v>
      </c>
      <c r="C837" s="16" t="s">
        <v>40</v>
      </c>
      <c r="D837" t="s">
        <v>8</v>
      </c>
      <c r="F837" t="b">
        <f t="shared" si="289"/>
        <v>0</v>
      </c>
    </row>
    <row r="838" spans="1:6" ht="47.25" customHeight="1" x14ac:dyDescent="0.2">
      <c r="A838">
        <f t="shared" ref="A838" si="290">A837+1</f>
        <v>167</v>
      </c>
      <c r="B838" s="22" t="s">
        <v>1641</v>
      </c>
      <c r="C838" s="22"/>
      <c r="D838" s="22"/>
      <c r="E838" s="22"/>
      <c r="F838" s="22"/>
    </row>
    <row r="839" spans="1:6" ht="16" x14ac:dyDescent="0.2">
      <c r="A839">
        <f t="shared" ref="A839:A842" si="291">A838</f>
        <v>167</v>
      </c>
      <c r="B839" t="s">
        <v>0</v>
      </c>
      <c r="C839" s="16" t="s">
        <v>1642</v>
      </c>
      <c r="D839" t="s">
        <v>8</v>
      </c>
      <c r="F839" t="b">
        <f t="shared" ref="F839:F842" si="292">D839=E839</f>
        <v>0</v>
      </c>
    </row>
    <row r="840" spans="1:6" ht="16" x14ac:dyDescent="0.2">
      <c r="A840">
        <f t="shared" si="291"/>
        <v>167</v>
      </c>
      <c r="B840" t="s">
        <v>1</v>
      </c>
      <c r="C840" s="16" t="s">
        <v>1643</v>
      </c>
      <c r="D840" t="s">
        <v>7</v>
      </c>
      <c r="F840" t="b">
        <f t="shared" si="292"/>
        <v>0</v>
      </c>
    </row>
    <row r="841" spans="1:6" ht="16" x14ac:dyDescent="0.2">
      <c r="A841">
        <f t="shared" si="291"/>
        <v>167</v>
      </c>
      <c r="B841" t="s">
        <v>2</v>
      </c>
      <c r="C841" s="16" t="s">
        <v>1644</v>
      </c>
      <c r="D841" t="s">
        <v>7</v>
      </c>
      <c r="F841" t="b">
        <f t="shared" si="292"/>
        <v>0</v>
      </c>
    </row>
    <row r="842" spans="1:6" ht="16" x14ac:dyDescent="0.2">
      <c r="A842">
        <f t="shared" si="291"/>
        <v>167</v>
      </c>
      <c r="B842" t="s">
        <v>3</v>
      </c>
      <c r="C842" s="16" t="s">
        <v>1645</v>
      </c>
      <c r="D842" t="s">
        <v>7</v>
      </c>
      <c r="F842" t="b">
        <f t="shared" si="292"/>
        <v>0</v>
      </c>
    </row>
    <row r="843" spans="1:6" x14ac:dyDescent="0.2">
      <c r="A843">
        <f t="shared" ref="A843" si="293">A842+1</f>
        <v>168</v>
      </c>
      <c r="B843" s="22" t="s">
        <v>1646</v>
      </c>
      <c r="C843" s="22"/>
      <c r="D843" s="22"/>
      <c r="E843" s="22"/>
      <c r="F843" s="22"/>
    </row>
    <row r="844" spans="1:6" ht="32" x14ac:dyDescent="0.2">
      <c r="A844">
        <f t="shared" ref="A844:A847" si="294">A843</f>
        <v>168</v>
      </c>
      <c r="B844" t="s">
        <v>0</v>
      </c>
      <c r="C844" s="16" t="s">
        <v>1647</v>
      </c>
      <c r="D844" t="s">
        <v>7</v>
      </c>
      <c r="F844" t="b">
        <f t="shared" ref="F844:F847" si="295">D844=E844</f>
        <v>0</v>
      </c>
    </row>
    <row r="845" spans="1:6" ht="48" x14ac:dyDescent="0.2">
      <c r="A845">
        <f t="shared" si="294"/>
        <v>168</v>
      </c>
      <c r="B845" t="s">
        <v>1</v>
      </c>
      <c r="C845" s="16" t="s">
        <v>1648</v>
      </c>
      <c r="D845" t="s">
        <v>8</v>
      </c>
      <c r="F845" t="b">
        <f t="shared" si="295"/>
        <v>0</v>
      </c>
    </row>
    <row r="846" spans="1:6" ht="16" x14ac:dyDescent="0.2">
      <c r="A846">
        <f t="shared" si="294"/>
        <v>168</v>
      </c>
      <c r="B846" t="s">
        <v>2</v>
      </c>
      <c r="C846" s="16" t="s">
        <v>1649</v>
      </c>
      <c r="D846" t="s">
        <v>7</v>
      </c>
      <c r="F846" t="b">
        <f t="shared" si="295"/>
        <v>0</v>
      </c>
    </row>
    <row r="847" spans="1:6" ht="16" x14ac:dyDescent="0.2">
      <c r="A847">
        <f t="shared" si="294"/>
        <v>168</v>
      </c>
      <c r="B847" t="s">
        <v>3</v>
      </c>
      <c r="C847" s="16" t="s">
        <v>1650</v>
      </c>
      <c r="D847" t="s">
        <v>7</v>
      </c>
      <c r="F847" t="b">
        <f t="shared" si="295"/>
        <v>0</v>
      </c>
    </row>
    <row r="848" spans="1:6" ht="33" customHeight="1" x14ac:dyDescent="0.2">
      <c r="A848">
        <f t="shared" ref="A848" si="296">A847+1</f>
        <v>169</v>
      </c>
      <c r="B848" s="22" t="s">
        <v>1651</v>
      </c>
      <c r="C848" s="22"/>
      <c r="D848" s="22"/>
      <c r="E848" s="22"/>
      <c r="F848" s="22"/>
    </row>
    <row r="849" spans="1:6" ht="16" x14ac:dyDescent="0.2">
      <c r="A849">
        <f t="shared" ref="A849:A852" si="297">A848</f>
        <v>169</v>
      </c>
      <c r="B849" t="s">
        <v>0</v>
      </c>
      <c r="C849" s="16" t="s">
        <v>759</v>
      </c>
      <c r="D849" t="s">
        <v>7</v>
      </c>
      <c r="F849" t="b">
        <f t="shared" ref="F849:F852" si="298">D849=E849</f>
        <v>0</v>
      </c>
    </row>
    <row r="850" spans="1:6" ht="16" x14ac:dyDescent="0.2">
      <c r="A850">
        <f t="shared" si="297"/>
        <v>169</v>
      </c>
      <c r="B850" t="s">
        <v>1</v>
      </c>
      <c r="C850" s="16" t="s">
        <v>1652</v>
      </c>
      <c r="D850" t="s">
        <v>7</v>
      </c>
      <c r="F850" t="b">
        <f t="shared" si="298"/>
        <v>0</v>
      </c>
    </row>
    <row r="851" spans="1:6" ht="16" x14ac:dyDescent="0.2">
      <c r="A851">
        <f t="shared" si="297"/>
        <v>169</v>
      </c>
      <c r="B851" t="s">
        <v>2</v>
      </c>
      <c r="C851" s="16" t="s">
        <v>1653</v>
      </c>
      <c r="D851" t="s">
        <v>7</v>
      </c>
      <c r="F851" t="b">
        <f t="shared" si="298"/>
        <v>0</v>
      </c>
    </row>
    <row r="852" spans="1:6" ht="16" x14ac:dyDescent="0.2">
      <c r="A852">
        <f t="shared" si="297"/>
        <v>169</v>
      </c>
      <c r="B852" t="s">
        <v>3</v>
      </c>
      <c r="C852" s="16" t="s">
        <v>1654</v>
      </c>
      <c r="D852" t="s">
        <v>8</v>
      </c>
      <c r="F852" t="b">
        <f t="shared" si="298"/>
        <v>0</v>
      </c>
    </row>
    <row r="853" spans="1:6" ht="29.25" customHeight="1" x14ac:dyDescent="0.2">
      <c r="A853">
        <f t="shared" ref="A853" si="299">A852+1</f>
        <v>170</v>
      </c>
      <c r="B853" s="22" t="s">
        <v>1655</v>
      </c>
      <c r="C853" s="22"/>
      <c r="D853" s="22"/>
      <c r="E853" s="22"/>
      <c r="F853" s="22"/>
    </row>
    <row r="854" spans="1:6" ht="16" x14ac:dyDescent="0.2">
      <c r="A854">
        <f t="shared" ref="A854:A857" si="300">A853</f>
        <v>170</v>
      </c>
      <c r="B854" t="s">
        <v>0</v>
      </c>
      <c r="C854" s="16" t="s">
        <v>1519</v>
      </c>
      <c r="D854" t="s">
        <v>7</v>
      </c>
      <c r="F854" t="b">
        <f t="shared" ref="F854:F857" si="301">D854=E854</f>
        <v>0</v>
      </c>
    </row>
    <row r="855" spans="1:6" ht="16" x14ac:dyDescent="0.2">
      <c r="A855">
        <f t="shared" si="300"/>
        <v>170</v>
      </c>
      <c r="B855" t="s">
        <v>1</v>
      </c>
      <c r="C855" s="16" t="s">
        <v>1656</v>
      </c>
      <c r="D855" t="s">
        <v>8</v>
      </c>
      <c r="F855" t="b">
        <f t="shared" si="301"/>
        <v>0</v>
      </c>
    </row>
    <row r="856" spans="1:6" ht="16" x14ac:dyDescent="0.2">
      <c r="A856">
        <f t="shared" si="300"/>
        <v>170</v>
      </c>
      <c r="B856" t="s">
        <v>2</v>
      </c>
      <c r="C856" s="16" t="s">
        <v>1657</v>
      </c>
      <c r="D856" t="s">
        <v>7</v>
      </c>
      <c r="F856" t="b">
        <f t="shared" si="301"/>
        <v>0</v>
      </c>
    </row>
    <row r="857" spans="1:6" ht="16" x14ac:dyDescent="0.2">
      <c r="A857">
        <f t="shared" si="300"/>
        <v>170</v>
      </c>
      <c r="B857" t="s">
        <v>3</v>
      </c>
      <c r="C857" s="16" t="s">
        <v>1658</v>
      </c>
      <c r="D857" t="s">
        <v>7</v>
      </c>
      <c r="F857" t="b">
        <f t="shared" si="301"/>
        <v>0</v>
      </c>
    </row>
    <row r="858" spans="1:6" ht="29.25" customHeight="1" x14ac:dyDescent="0.2">
      <c r="A858">
        <f t="shared" ref="A858" si="302">A857+1</f>
        <v>171</v>
      </c>
      <c r="B858" s="22" t="s">
        <v>1659</v>
      </c>
      <c r="C858" s="22"/>
      <c r="D858" s="22"/>
      <c r="E858" s="22"/>
      <c r="F858" s="22"/>
    </row>
    <row r="859" spans="1:6" ht="16" x14ac:dyDescent="0.2">
      <c r="A859">
        <f t="shared" ref="A859:A862" si="303">A858</f>
        <v>171</v>
      </c>
      <c r="B859" t="s">
        <v>0</v>
      </c>
      <c r="C859" s="16" t="s">
        <v>1660</v>
      </c>
      <c r="D859" t="s">
        <v>7</v>
      </c>
      <c r="F859" t="b">
        <f t="shared" ref="F859:F862" si="304">D859=E859</f>
        <v>0</v>
      </c>
    </row>
    <row r="860" spans="1:6" ht="16" x14ac:dyDescent="0.2">
      <c r="A860">
        <f t="shared" si="303"/>
        <v>171</v>
      </c>
      <c r="B860" t="s">
        <v>1</v>
      </c>
      <c r="C860" s="16" t="s">
        <v>1299</v>
      </c>
      <c r="D860" t="s">
        <v>8</v>
      </c>
      <c r="F860" t="b">
        <f t="shared" si="304"/>
        <v>0</v>
      </c>
    </row>
    <row r="861" spans="1:6" ht="16" x14ac:dyDescent="0.2">
      <c r="A861">
        <f t="shared" si="303"/>
        <v>171</v>
      </c>
      <c r="B861" t="s">
        <v>2</v>
      </c>
      <c r="C861" s="16" t="s">
        <v>1661</v>
      </c>
      <c r="D861" t="s">
        <v>7</v>
      </c>
      <c r="F861" t="b">
        <f t="shared" si="304"/>
        <v>0</v>
      </c>
    </row>
    <row r="862" spans="1:6" ht="16" x14ac:dyDescent="0.2">
      <c r="A862">
        <f t="shared" si="303"/>
        <v>171</v>
      </c>
      <c r="B862" t="s">
        <v>3</v>
      </c>
      <c r="C862" s="16" t="s">
        <v>1253</v>
      </c>
      <c r="D862" t="s">
        <v>7</v>
      </c>
      <c r="F862" t="b">
        <f t="shared" si="304"/>
        <v>0</v>
      </c>
    </row>
    <row r="863" spans="1:6" x14ac:dyDescent="0.2">
      <c r="A863">
        <f t="shared" ref="A863" si="305">A862+1</f>
        <v>172</v>
      </c>
      <c r="B863" s="22" t="s">
        <v>1662</v>
      </c>
      <c r="C863" s="22"/>
      <c r="D863" s="22"/>
      <c r="E863" s="22"/>
      <c r="F863" s="22"/>
    </row>
    <row r="864" spans="1:6" ht="16" x14ac:dyDescent="0.2">
      <c r="A864">
        <f t="shared" ref="A864:A867" si="306">A863</f>
        <v>172</v>
      </c>
      <c r="B864" t="s">
        <v>0</v>
      </c>
      <c r="C864" s="16" t="s">
        <v>1663</v>
      </c>
      <c r="D864" t="s">
        <v>8</v>
      </c>
      <c r="F864" t="b">
        <f t="shared" ref="F864:F867" si="307">D864=E864</f>
        <v>0</v>
      </c>
    </row>
    <row r="865" spans="1:6" ht="16" x14ac:dyDescent="0.2">
      <c r="A865">
        <f t="shared" si="306"/>
        <v>172</v>
      </c>
      <c r="B865" t="s">
        <v>1</v>
      </c>
      <c r="C865" s="16" t="s">
        <v>1664</v>
      </c>
      <c r="D865" t="s">
        <v>7</v>
      </c>
      <c r="F865" t="b">
        <f t="shared" si="307"/>
        <v>0</v>
      </c>
    </row>
    <row r="866" spans="1:6" ht="16" x14ac:dyDescent="0.2">
      <c r="A866">
        <f t="shared" si="306"/>
        <v>172</v>
      </c>
      <c r="B866" t="s">
        <v>2</v>
      </c>
      <c r="C866" s="16" t="s">
        <v>1665</v>
      </c>
      <c r="D866" t="s">
        <v>7</v>
      </c>
      <c r="F866" t="b">
        <f t="shared" si="307"/>
        <v>0</v>
      </c>
    </row>
    <row r="867" spans="1:6" ht="16" x14ac:dyDescent="0.2">
      <c r="A867">
        <f t="shared" si="306"/>
        <v>172</v>
      </c>
      <c r="B867" t="s">
        <v>3</v>
      </c>
      <c r="C867" s="16" t="s">
        <v>1666</v>
      </c>
      <c r="D867" t="s">
        <v>7</v>
      </c>
      <c r="F867" t="b">
        <f t="shared" si="307"/>
        <v>0</v>
      </c>
    </row>
    <row r="868" spans="1:6" x14ac:dyDescent="0.2">
      <c r="A868">
        <f t="shared" ref="A868" si="308">A867+1</f>
        <v>173</v>
      </c>
      <c r="B868" s="22" t="s">
        <v>1667</v>
      </c>
      <c r="C868" s="22"/>
      <c r="D868" s="22"/>
      <c r="E868" s="22"/>
      <c r="F868" s="22"/>
    </row>
    <row r="869" spans="1:6" ht="16" x14ac:dyDescent="0.2">
      <c r="A869">
        <f t="shared" ref="A869:A872" si="309">A868</f>
        <v>173</v>
      </c>
      <c r="B869" t="s">
        <v>0</v>
      </c>
      <c r="C869" s="16" t="s">
        <v>1668</v>
      </c>
      <c r="D869" t="s">
        <v>8</v>
      </c>
      <c r="F869" t="b">
        <f t="shared" ref="F869:F872" si="310">D869=E869</f>
        <v>0</v>
      </c>
    </row>
    <row r="870" spans="1:6" ht="16" x14ac:dyDescent="0.2">
      <c r="A870">
        <f t="shared" si="309"/>
        <v>173</v>
      </c>
      <c r="B870" t="s">
        <v>1</v>
      </c>
      <c r="C870" s="16" t="s">
        <v>1669</v>
      </c>
      <c r="D870" t="s">
        <v>7</v>
      </c>
      <c r="F870" t="b">
        <f t="shared" si="310"/>
        <v>0</v>
      </c>
    </row>
    <row r="871" spans="1:6" ht="16" x14ac:dyDescent="0.2">
      <c r="A871">
        <f t="shared" si="309"/>
        <v>173</v>
      </c>
      <c r="B871" t="s">
        <v>2</v>
      </c>
      <c r="C871" s="16" t="s">
        <v>496</v>
      </c>
      <c r="D871" t="s">
        <v>7</v>
      </c>
      <c r="F871" t="b">
        <f t="shared" si="310"/>
        <v>0</v>
      </c>
    </row>
    <row r="872" spans="1:6" ht="16" x14ac:dyDescent="0.2">
      <c r="A872">
        <f t="shared" si="309"/>
        <v>173</v>
      </c>
      <c r="B872" t="s">
        <v>3</v>
      </c>
      <c r="C872" s="16" t="s">
        <v>496</v>
      </c>
      <c r="D872" t="s">
        <v>7</v>
      </c>
      <c r="F872" t="b">
        <f t="shared" si="310"/>
        <v>0</v>
      </c>
    </row>
    <row r="873" spans="1:6" ht="33" customHeight="1" x14ac:dyDescent="0.2">
      <c r="A873">
        <f t="shared" ref="A873" si="311">A872+1</f>
        <v>174</v>
      </c>
      <c r="B873" s="22" t="s">
        <v>1670</v>
      </c>
      <c r="C873" s="22"/>
      <c r="D873" s="22"/>
      <c r="E873" s="22"/>
      <c r="F873" s="22"/>
    </row>
    <row r="874" spans="1:6" ht="16" x14ac:dyDescent="0.2">
      <c r="A874">
        <f t="shared" ref="A874:A877" si="312">A873</f>
        <v>174</v>
      </c>
      <c r="B874" t="s">
        <v>0</v>
      </c>
      <c r="C874" s="16" t="s">
        <v>1671</v>
      </c>
      <c r="D874" t="s">
        <v>8</v>
      </c>
      <c r="F874" t="b">
        <f t="shared" ref="F874:F877" si="313">D874=E874</f>
        <v>0</v>
      </c>
    </row>
    <row r="875" spans="1:6" ht="16" x14ac:dyDescent="0.2">
      <c r="A875">
        <f t="shared" si="312"/>
        <v>174</v>
      </c>
      <c r="B875" t="s">
        <v>1</v>
      </c>
      <c r="C875" s="16" t="s">
        <v>1672</v>
      </c>
      <c r="D875" t="s">
        <v>8</v>
      </c>
      <c r="F875" t="b">
        <f t="shared" si="313"/>
        <v>0</v>
      </c>
    </row>
    <row r="876" spans="1:6" ht="16" x14ac:dyDescent="0.2">
      <c r="A876">
        <f t="shared" si="312"/>
        <v>174</v>
      </c>
      <c r="B876" t="s">
        <v>2</v>
      </c>
      <c r="C876" s="16" t="s">
        <v>1673</v>
      </c>
      <c r="D876" t="s">
        <v>7</v>
      </c>
      <c r="F876" t="b">
        <f t="shared" si="313"/>
        <v>0</v>
      </c>
    </row>
    <row r="877" spans="1:6" ht="16" x14ac:dyDescent="0.2">
      <c r="A877">
        <f t="shared" si="312"/>
        <v>174</v>
      </c>
      <c r="B877" t="s">
        <v>3</v>
      </c>
      <c r="C877" s="16" t="s">
        <v>1674</v>
      </c>
      <c r="D877" t="s">
        <v>7</v>
      </c>
      <c r="F877" t="b">
        <f t="shared" si="313"/>
        <v>0</v>
      </c>
    </row>
    <row r="878" spans="1:6" x14ac:dyDescent="0.2">
      <c r="A878">
        <f t="shared" ref="A878" si="314">A877+1</f>
        <v>175</v>
      </c>
      <c r="B878" s="22" t="s">
        <v>1675</v>
      </c>
      <c r="C878" s="22"/>
      <c r="D878" s="22"/>
      <c r="E878" s="22"/>
      <c r="F878" s="22"/>
    </row>
    <row r="879" spans="1:6" ht="16" x14ac:dyDescent="0.2">
      <c r="A879">
        <f t="shared" ref="A879:A882" si="315">A878</f>
        <v>175</v>
      </c>
      <c r="B879" t="s">
        <v>0</v>
      </c>
      <c r="C879" s="16" t="s">
        <v>1299</v>
      </c>
      <c r="D879" t="s">
        <v>7</v>
      </c>
      <c r="F879" t="b">
        <f t="shared" ref="F879:F882" si="316">D879=E879</f>
        <v>0</v>
      </c>
    </row>
    <row r="880" spans="1:6" ht="16" x14ac:dyDescent="0.2">
      <c r="A880">
        <f t="shared" si="315"/>
        <v>175</v>
      </c>
      <c r="B880" t="s">
        <v>1</v>
      </c>
      <c r="C880" s="16" t="s">
        <v>1371</v>
      </c>
      <c r="D880" t="s">
        <v>7</v>
      </c>
      <c r="F880" t="b">
        <f t="shared" si="316"/>
        <v>0</v>
      </c>
    </row>
    <row r="881" spans="1:6" ht="16" x14ac:dyDescent="0.2">
      <c r="A881">
        <f t="shared" si="315"/>
        <v>175</v>
      </c>
      <c r="B881" t="s">
        <v>2</v>
      </c>
      <c r="C881" s="16" t="s">
        <v>1676</v>
      </c>
      <c r="D881" t="s">
        <v>8</v>
      </c>
      <c r="F881" t="b">
        <f t="shared" si="316"/>
        <v>0</v>
      </c>
    </row>
    <row r="882" spans="1:6" ht="16" x14ac:dyDescent="0.2">
      <c r="A882">
        <f t="shared" si="315"/>
        <v>175</v>
      </c>
      <c r="B882" t="s">
        <v>3</v>
      </c>
      <c r="C882" s="16" t="s">
        <v>759</v>
      </c>
      <c r="D882" t="s">
        <v>7</v>
      </c>
      <c r="F882" t="b">
        <f t="shared" si="316"/>
        <v>0</v>
      </c>
    </row>
    <row r="883" spans="1:6" ht="30.75" customHeight="1" x14ac:dyDescent="0.2">
      <c r="A883">
        <f t="shared" ref="A883" si="317">A882+1</f>
        <v>176</v>
      </c>
      <c r="B883" s="22" t="s">
        <v>1677</v>
      </c>
      <c r="C883" s="22"/>
      <c r="D883" s="22"/>
      <c r="E883" s="22"/>
      <c r="F883" s="22"/>
    </row>
    <row r="884" spans="1:6" ht="16" x14ac:dyDescent="0.2">
      <c r="A884">
        <f t="shared" ref="A884:A887" si="318">A883</f>
        <v>176</v>
      </c>
      <c r="B884" t="s">
        <v>0</v>
      </c>
      <c r="C884" s="16" t="s">
        <v>1678</v>
      </c>
      <c r="D884" t="s">
        <v>7</v>
      </c>
      <c r="F884" t="b">
        <f t="shared" ref="F884:F887" si="319">D884=E884</f>
        <v>0</v>
      </c>
    </row>
    <row r="885" spans="1:6" ht="16" x14ac:dyDescent="0.2">
      <c r="A885">
        <f t="shared" si="318"/>
        <v>176</v>
      </c>
      <c r="B885" t="s">
        <v>1</v>
      </c>
      <c r="C885" s="16" t="s">
        <v>1679</v>
      </c>
      <c r="D885" t="s">
        <v>7</v>
      </c>
      <c r="F885" t="b">
        <f t="shared" si="319"/>
        <v>0</v>
      </c>
    </row>
    <row r="886" spans="1:6" ht="16" x14ac:dyDescent="0.2">
      <c r="A886">
        <f t="shared" si="318"/>
        <v>176</v>
      </c>
      <c r="B886" t="s">
        <v>2</v>
      </c>
      <c r="C886" s="16" t="s">
        <v>1680</v>
      </c>
      <c r="D886" t="s">
        <v>8</v>
      </c>
      <c r="F886" t="b">
        <f t="shared" si="319"/>
        <v>0</v>
      </c>
    </row>
    <row r="887" spans="1:6" ht="16" x14ac:dyDescent="0.2">
      <c r="A887">
        <f t="shared" si="318"/>
        <v>176</v>
      </c>
      <c r="B887" t="s">
        <v>3</v>
      </c>
      <c r="C887" s="16" t="s">
        <v>41</v>
      </c>
      <c r="D887" t="s">
        <v>7</v>
      </c>
      <c r="F887" t="b">
        <f t="shared" si="319"/>
        <v>0</v>
      </c>
    </row>
    <row r="888" spans="1:6" ht="59.25" customHeight="1" x14ac:dyDescent="0.2">
      <c r="A888">
        <f t="shared" ref="A888" si="320">A887+1</f>
        <v>177</v>
      </c>
      <c r="B888" s="22" t="s">
        <v>1681</v>
      </c>
      <c r="C888" s="22"/>
      <c r="D888" s="22"/>
      <c r="E888" s="22"/>
      <c r="F888" s="22"/>
    </row>
    <row r="889" spans="1:6" ht="16" x14ac:dyDescent="0.2">
      <c r="A889">
        <f t="shared" ref="A889:A892" si="321">A888</f>
        <v>177</v>
      </c>
      <c r="B889" t="s">
        <v>0</v>
      </c>
      <c r="C889" s="16" t="s">
        <v>867</v>
      </c>
      <c r="D889" t="s">
        <v>8</v>
      </c>
      <c r="F889" t="b">
        <f t="shared" ref="F889:F892" si="322">D889=E889</f>
        <v>0</v>
      </c>
    </row>
    <row r="890" spans="1:6" ht="16" x14ac:dyDescent="0.2">
      <c r="A890">
        <f t="shared" si="321"/>
        <v>177</v>
      </c>
      <c r="B890" t="s">
        <v>1</v>
      </c>
      <c r="C890" s="16" t="s">
        <v>1682</v>
      </c>
      <c r="D890" t="s">
        <v>7</v>
      </c>
      <c r="F890" t="b">
        <f t="shared" si="322"/>
        <v>0</v>
      </c>
    </row>
    <row r="891" spans="1:6" ht="16" x14ac:dyDescent="0.2">
      <c r="A891">
        <f t="shared" si="321"/>
        <v>177</v>
      </c>
      <c r="B891" t="s">
        <v>2</v>
      </c>
      <c r="C891" s="16" t="s">
        <v>1683</v>
      </c>
      <c r="D891" t="s">
        <v>7</v>
      </c>
      <c r="F891" t="b">
        <f t="shared" si="322"/>
        <v>0</v>
      </c>
    </row>
    <row r="892" spans="1:6" ht="16" x14ac:dyDescent="0.2">
      <c r="A892">
        <f t="shared" si="321"/>
        <v>177</v>
      </c>
      <c r="B892" t="s">
        <v>3</v>
      </c>
      <c r="C892" s="16" t="s">
        <v>1221</v>
      </c>
      <c r="D892" t="s">
        <v>7</v>
      </c>
      <c r="F892" t="b">
        <f t="shared" si="322"/>
        <v>0</v>
      </c>
    </row>
    <row r="893" spans="1:6" x14ac:dyDescent="0.2">
      <c r="A893">
        <f t="shared" ref="A893" si="323">A892+1</f>
        <v>178</v>
      </c>
      <c r="B893" s="22" t="s">
        <v>1684</v>
      </c>
      <c r="C893" s="22"/>
      <c r="D893" s="22"/>
      <c r="E893" s="22"/>
      <c r="F893" s="22"/>
    </row>
    <row r="894" spans="1:6" ht="16" x14ac:dyDescent="0.2">
      <c r="A894">
        <f t="shared" ref="A894:A897" si="324">A893</f>
        <v>178</v>
      </c>
      <c r="B894" t="s">
        <v>0</v>
      </c>
      <c r="C894" s="16" t="s">
        <v>536</v>
      </c>
      <c r="D894" t="s">
        <v>8</v>
      </c>
      <c r="F894" t="b">
        <f t="shared" ref="F894:F897" si="325">D894=E894</f>
        <v>0</v>
      </c>
    </row>
    <row r="895" spans="1:6" ht="16" x14ac:dyDescent="0.2">
      <c r="A895">
        <f t="shared" si="324"/>
        <v>178</v>
      </c>
      <c r="B895" t="s">
        <v>1</v>
      </c>
      <c r="C895" s="16" t="s">
        <v>493</v>
      </c>
      <c r="D895" t="s">
        <v>7</v>
      </c>
      <c r="F895" t="b">
        <f t="shared" si="325"/>
        <v>0</v>
      </c>
    </row>
    <row r="896" spans="1:6" ht="16" x14ac:dyDescent="0.2">
      <c r="A896">
        <f t="shared" si="324"/>
        <v>178</v>
      </c>
      <c r="B896" t="s">
        <v>2</v>
      </c>
      <c r="C896" s="16" t="s">
        <v>680</v>
      </c>
      <c r="D896" t="s">
        <v>7</v>
      </c>
      <c r="F896" t="b">
        <f t="shared" si="325"/>
        <v>0</v>
      </c>
    </row>
    <row r="897" spans="1:6" ht="16" x14ac:dyDescent="0.2">
      <c r="A897">
        <f t="shared" si="324"/>
        <v>178</v>
      </c>
      <c r="B897" t="s">
        <v>3</v>
      </c>
      <c r="C897" s="16" t="s">
        <v>1685</v>
      </c>
      <c r="D897" t="s">
        <v>7</v>
      </c>
      <c r="F897" t="b">
        <f t="shared" si="325"/>
        <v>0</v>
      </c>
    </row>
    <row r="898" spans="1:6" ht="33" customHeight="1" x14ac:dyDescent="0.2">
      <c r="A898">
        <f t="shared" ref="A898" si="326">A897+1</f>
        <v>179</v>
      </c>
      <c r="B898" s="22" t="s">
        <v>1686</v>
      </c>
      <c r="C898" s="22"/>
      <c r="D898" s="22"/>
      <c r="E898" s="22"/>
      <c r="F898" s="22"/>
    </row>
    <row r="899" spans="1:6" ht="16" x14ac:dyDescent="0.2">
      <c r="A899">
        <f t="shared" ref="A899:A902" si="327">A898</f>
        <v>179</v>
      </c>
      <c r="B899" t="s">
        <v>0</v>
      </c>
      <c r="C899" s="16" t="s">
        <v>497</v>
      </c>
      <c r="D899" t="s">
        <v>7</v>
      </c>
      <c r="F899" t="b">
        <f t="shared" ref="F899:F902" si="328">D899=E899</f>
        <v>0</v>
      </c>
    </row>
    <row r="900" spans="1:6" ht="16" x14ac:dyDescent="0.2">
      <c r="A900">
        <f t="shared" si="327"/>
        <v>179</v>
      </c>
      <c r="B900" t="s">
        <v>1</v>
      </c>
      <c r="C900" s="16" t="s">
        <v>42</v>
      </c>
      <c r="D900" t="s">
        <v>8</v>
      </c>
      <c r="F900" t="b">
        <f t="shared" si="328"/>
        <v>0</v>
      </c>
    </row>
    <row r="901" spans="1:6" ht="16" x14ac:dyDescent="0.2">
      <c r="A901">
        <f t="shared" si="327"/>
        <v>179</v>
      </c>
      <c r="B901" t="s">
        <v>2</v>
      </c>
      <c r="C901" s="16" t="s">
        <v>1687</v>
      </c>
      <c r="D901" t="s">
        <v>7</v>
      </c>
      <c r="F901" t="b">
        <f t="shared" si="328"/>
        <v>0</v>
      </c>
    </row>
    <row r="902" spans="1:6" ht="16" x14ac:dyDescent="0.2">
      <c r="A902">
        <f t="shared" si="327"/>
        <v>179</v>
      </c>
      <c r="B902" t="s">
        <v>3</v>
      </c>
      <c r="C902" s="16" t="s">
        <v>1688</v>
      </c>
      <c r="D902" t="s">
        <v>7</v>
      </c>
      <c r="F902" t="b">
        <f t="shared" si="328"/>
        <v>0</v>
      </c>
    </row>
    <row r="903" spans="1:6" ht="48" customHeight="1" x14ac:dyDescent="0.2">
      <c r="A903">
        <f t="shared" ref="A903" si="329">A902+1</f>
        <v>180</v>
      </c>
      <c r="B903" s="22" t="s">
        <v>1689</v>
      </c>
      <c r="C903" s="22"/>
      <c r="D903" s="22"/>
      <c r="E903" s="22"/>
      <c r="F903" s="22"/>
    </row>
    <row r="904" spans="1:6" ht="32" x14ac:dyDescent="0.2">
      <c r="A904">
        <f t="shared" ref="A904:A907" si="330">A903</f>
        <v>180</v>
      </c>
      <c r="B904" t="s">
        <v>0</v>
      </c>
      <c r="C904" s="16" t="s">
        <v>1690</v>
      </c>
      <c r="D904" t="s">
        <v>7</v>
      </c>
      <c r="F904" t="b">
        <f t="shared" ref="F904:F907" si="331">D904=E904</f>
        <v>0</v>
      </c>
    </row>
    <row r="905" spans="1:6" ht="16" x14ac:dyDescent="0.2">
      <c r="A905">
        <f t="shared" si="330"/>
        <v>180</v>
      </c>
      <c r="B905" t="s">
        <v>1</v>
      </c>
      <c r="C905" s="16" t="s">
        <v>1691</v>
      </c>
      <c r="D905" t="s">
        <v>7</v>
      </c>
      <c r="F905" t="b">
        <f t="shared" si="331"/>
        <v>0</v>
      </c>
    </row>
    <row r="906" spans="1:6" ht="16" x14ac:dyDescent="0.2">
      <c r="A906">
        <f t="shared" si="330"/>
        <v>180</v>
      </c>
      <c r="B906" t="s">
        <v>2</v>
      </c>
      <c r="C906" s="16" t="s">
        <v>1692</v>
      </c>
      <c r="D906" t="s">
        <v>8</v>
      </c>
      <c r="F906" t="b">
        <f t="shared" si="331"/>
        <v>0</v>
      </c>
    </row>
    <row r="907" spans="1:6" ht="16" x14ac:dyDescent="0.2">
      <c r="A907">
        <f t="shared" si="330"/>
        <v>180</v>
      </c>
      <c r="B907" t="s">
        <v>3</v>
      </c>
      <c r="C907" s="16" t="s">
        <v>1137</v>
      </c>
      <c r="D907" t="s">
        <v>7</v>
      </c>
      <c r="F907" t="b">
        <f t="shared" si="331"/>
        <v>0</v>
      </c>
    </row>
    <row r="908" spans="1:6" x14ac:dyDescent="0.2">
      <c r="A908">
        <f t="shared" ref="A908" si="332">A907+1</f>
        <v>181</v>
      </c>
      <c r="B908" s="22" t="s">
        <v>1693</v>
      </c>
      <c r="C908" s="22"/>
      <c r="D908" s="22"/>
      <c r="E908" s="22"/>
      <c r="F908" s="22"/>
    </row>
    <row r="909" spans="1:6" ht="16" x14ac:dyDescent="0.2">
      <c r="A909">
        <f t="shared" ref="A909:A912" si="333">A908</f>
        <v>181</v>
      </c>
      <c r="B909" t="s">
        <v>0</v>
      </c>
      <c r="C909" s="16" t="s">
        <v>1694</v>
      </c>
      <c r="D909" t="s">
        <v>7</v>
      </c>
      <c r="F909" t="b">
        <f t="shared" ref="F909:F912" si="334">D909=E909</f>
        <v>0</v>
      </c>
    </row>
    <row r="910" spans="1:6" ht="16" x14ac:dyDescent="0.2">
      <c r="A910">
        <f t="shared" si="333"/>
        <v>181</v>
      </c>
      <c r="B910" t="s">
        <v>1</v>
      </c>
      <c r="C910" s="16" t="s">
        <v>1695</v>
      </c>
      <c r="D910" t="s">
        <v>7</v>
      </c>
      <c r="F910" t="b">
        <f t="shared" si="334"/>
        <v>0</v>
      </c>
    </row>
    <row r="911" spans="1:6" ht="16" x14ac:dyDescent="0.2">
      <c r="A911">
        <f t="shared" si="333"/>
        <v>181</v>
      </c>
      <c r="B911" t="s">
        <v>2</v>
      </c>
      <c r="C911" s="16" t="s">
        <v>1696</v>
      </c>
      <c r="D911" t="s">
        <v>8</v>
      </c>
      <c r="F911" t="b">
        <f t="shared" si="334"/>
        <v>0</v>
      </c>
    </row>
    <row r="912" spans="1:6" ht="16" x14ac:dyDescent="0.2">
      <c r="A912">
        <f t="shared" si="333"/>
        <v>181</v>
      </c>
      <c r="B912" t="s">
        <v>3</v>
      </c>
      <c r="C912" s="16" t="s">
        <v>1697</v>
      </c>
      <c r="D912" t="s">
        <v>7</v>
      </c>
      <c r="F912" t="b">
        <f t="shared" si="334"/>
        <v>0</v>
      </c>
    </row>
    <row r="913" spans="1:6" x14ac:dyDescent="0.2">
      <c r="A913">
        <f t="shared" ref="A913" si="335">A912+1</f>
        <v>182</v>
      </c>
      <c r="B913" s="22" t="s">
        <v>1698</v>
      </c>
      <c r="C913" s="22"/>
      <c r="D913" s="22"/>
      <c r="E913" s="22"/>
      <c r="F913" s="22"/>
    </row>
    <row r="914" spans="1:6" ht="16" x14ac:dyDescent="0.2">
      <c r="A914">
        <f t="shared" ref="A914:A917" si="336">A913</f>
        <v>182</v>
      </c>
      <c r="B914" t="s">
        <v>0</v>
      </c>
      <c r="C914" s="16" t="s">
        <v>1699</v>
      </c>
      <c r="D914" t="s">
        <v>8</v>
      </c>
      <c r="F914" t="b">
        <f t="shared" ref="F914:F917" si="337">D914=E914</f>
        <v>0</v>
      </c>
    </row>
    <row r="915" spans="1:6" ht="16" x14ac:dyDescent="0.2">
      <c r="A915">
        <f t="shared" si="336"/>
        <v>182</v>
      </c>
      <c r="B915" t="s">
        <v>1</v>
      </c>
      <c r="C915" s="16" t="s">
        <v>1700</v>
      </c>
      <c r="D915" t="s">
        <v>7</v>
      </c>
      <c r="F915" t="b">
        <f t="shared" si="337"/>
        <v>0</v>
      </c>
    </row>
    <row r="916" spans="1:6" ht="16" x14ac:dyDescent="0.2">
      <c r="A916">
        <f t="shared" si="336"/>
        <v>182</v>
      </c>
      <c r="B916" t="s">
        <v>2</v>
      </c>
      <c r="C916" s="16" t="s">
        <v>1701</v>
      </c>
      <c r="D916" t="s">
        <v>7</v>
      </c>
      <c r="F916" t="b">
        <f t="shared" si="337"/>
        <v>0</v>
      </c>
    </row>
    <row r="917" spans="1:6" ht="16" x14ac:dyDescent="0.2">
      <c r="A917">
        <f t="shared" si="336"/>
        <v>182</v>
      </c>
      <c r="B917" t="s">
        <v>3</v>
      </c>
      <c r="C917" s="16" t="s">
        <v>1702</v>
      </c>
      <c r="D917" t="s">
        <v>7</v>
      </c>
      <c r="F917" t="b">
        <f t="shared" si="337"/>
        <v>0</v>
      </c>
    </row>
    <row r="918" spans="1:6" ht="30" customHeight="1" x14ac:dyDescent="0.2">
      <c r="A918">
        <f t="shared" ref="A918" si="338">A917+1</f>
        <v>183</v>
      </c>
      <c r="B918" s="22" t="s">
        <v>1703</v>
      </c>
      <c r="C918" s="22"/>
      <c r="D918" s="22"/>
      <c r="E918" s="22"/>
      <c r="F918" s="22"/>
    </row>
    <row r="919" spans="1:6" ht="16" x14ac:dyDescent="0.2">
      <c r="A919">
        <f t="shared" ref="A919:A922" si="339">A918</f>
        <v>183</v>
      </c>
      <c r="B919" t="s">
        <v>0</v>
      </c>
      <c r="C919" s="16" t="s">
        <v>1704</v>
      </c>
      <c r="D919" t="s">
        <v>8</v>
      </c>
      <c r="F919" t="b">
        <f t="shared" ref="F919:F922" si="340">D919=E919</f>
        <v>0</v>
      </c>
    </row>
    <row r="920" spans="1:6" ht="16" x14ac:dyDescent="0.2">
      <c r="A920">
        <f t="shared" si="339"/>
        <v>183</v>
      </c>
      <c r="B920" t="s">
        <v>1</v>
      </c>
      <c r="C920" s="16" t="s">
        <v>1705</v>
      </c>
      <c r="D920" t="s">
        <v>7</v>
      </c>
      <c r="F920" t="b">
        <f t="shared" si="340"/>
        <v>0</v>
      </c>
    </row>
    <row r="921" spans="1:6" ht="16" x14ac:dyDescent="0.2">
      <c r="A921">
        <f t="shared" si="339"/>
        <v>183</v>
      </c>
      <c r="B921" t="s">
        <v>2</v>
      </c>
      <c r="C921" s="16" t="s">
        <v>1706</v>
      </c>
      <c r="D921" t="s">
        <v>7</v>
      </c>
      <c r="F921" t="b">
        <f t="shared" si="340"/>
        <v>0</v>
      </c>
    </row>
    <row r="922" spans="1:6" ht="16" x14ac:dyDescent="0.2">
      <c r="A922">
        <f t="shared" si="339"/>
        <v>183</v>
      </c>
      <c r="B922" t="s">
        <v>3</v>
      </c>
      <c r="C922" s="16" t="s">
        <v>1707</v>
      </c>
      <c r="D922" t="s">
        <v>7</v>
      </c>
      <c r="F922" t="b">
        <f t="shared" si="340"/>
        <v>0</v>
      </c>
    </row>
    <row r="923" spans="1:6" x14ac:dyDescent="0.2">
      <c r="A923">
        <f t="shared" ref="A923" si="341">A922+1</f>
        <v>184</v>
      </c>
      <c r="B923" s="22" t="s">
        <v>1708</v>
      </c>
      <c r="C923" s="22"/>
      <c r="D923" s="22"/>
      <c r="E923" s="22"/>
      <c r="F923" s="22"/>
    </row>
    <row r="924" spans="1:6" ht="16" x14ac:dyDescent="0.2">
      <c r="A924">
        <f t="shared" ref="A924:A927" si="342">A923</f>
        <v>184</v>
      </c>
      <c r="B924" t="s">
        <v>0</v>
      </c>
      <c r="C924" s="16" t="s">
        <v>21</v>
      </c>
      <c r="D924" t="s">
        <v>8</v>
      </c>
      <c r="F924" t="b">
        <f t="shared" ref="F924:F927" si="343">D924=E924</f>
        <v>0</v>
      </c>
    </row>
    <row r="925" spans="1:6" ht="16" x14ac:dyDescent="0.2">
      <c r="A925">
        <f t="shared" si="342"/>
        <v>184</v>
      </c>
      <c r="B925" t="s">
        <v>1</v>
      </c>
      <c r="C925" s="16" t="s">
        <v>1709</v>
      </c>
      <c r="D925" t="s">
        <v>7</v>
      </c>
      <c r="F925" t="b">
        <f t="shared" si="343"/>
        <v>0</v>
      </c>
    </row>
    <row r="926" spans="1:6" ht="16" x14ac:dyDescent="0.2">
      <c r="A926">
        <f t="shared" si="342"/>
        <v>184</v>
      </c>
      <c r="B926" t="s">
        <v>2</v>
      </c>
      <c r="C926" s="16" t="s">
        <v>1710</v>
      </c>
      <c r="D926" t="s">
        <v>7</v>
      </c>
      <c r="F926" t="b">
        <f t="shared" si="343"/>
        <v>0</v>
      </c>
    </row>
    <row r="927" spans="1:6" ht="16" x14ac:dyDescent="0.2">
      <c r="A927">
        <f t="shared" si="342"/>
        <v>184</v>
      </c>
      <c r="B927" t="s">
        <v>3</v>
      </c>
      <c r="C927" s="16" t="s">
        <v>1711</v>
      </c>
      <c r="D927" t="s">
        <v>7</v>
      </c>
      <c r="F927" t="b">
        <f t="shared" si="343"/>
        <v>0</v>
      </c>
    </row>
    <row r="928" spans="1:6" x14ac:dyDescent="0.2">
      <c r="A928">
        <f t="shared" ref="A928" si="344">A927+1</f>
        <v>185</v>
      </c>
      <c r="B928" s="22" t="s">
        <v>1712</v>
      </c>
      <c r="C928" s="22"/>
      <c r="D928" s="22"/>
      <c r="E928" s="22"/>
      <c r="F928" s="22"/>
    </row>
    <row r="929" spans="1:6" ht="16" x14ac:dyDescent="0.2">
      <c r="A929">
        <f t="shared" ref="A929:A932" si="345">A928</f>
        <v>185</v>
      </c>
      <c r="B929" t="s">
        <v>0</v>
      </c>
      <c r="C929" s="16" t="s">
        <v>959</v>
      </c>
      <c r="F929" t="b">
        <f t="shared" ref="F929:F932" si="346">D929=E929</f>
        <v>1</v>
      </c>
    </row>
    <row r="930" spans="1:6" ht="16" x14ac:dyDescent="0.2">
      <c r="A930">
        <f t="shared" si="345"/>
        <v>185</v>
      </c>
      <c r="B930" t="s">
        <v>1</v>
      </c>
      <c r="C930" s="16" t="s">
        <v>33</v>
      </c>
      <c r="F930" t="b">
        <f t="shared" si="346"/>
        <v>1</v>
      </c>
    </row>
    <row r="931" spans="1:6" ht="16" x14ac:dyDescent="0.2">
      <c r="A931">
        <f t="shared" si="345"/>
        <v>185</v>
      </c>
      <c r="B931" t="s">
        <v>2</v>
      </c>
      <c r="C931" s="16" t="s">
        <v>1551</v>
      </c>
      <c r="F931" t="b">
        <f t="shared" si="346"/>
        <v>1</v>
      </c>
    </row>
    <row r="932" spans="1:6" ht="16" x14ac:dyDescent="0.2">
      <c r="A932">
        <f t="shared" si="345"/>
        <v>185</v>
      </c>
      <c r="B932" t="s">
        <v>3</v>
      </c>
      <c r="C932" s="16" t="s">
        <v>1713</v>
      </c>
      <c r="F932" t="b">
        <f t="shared" si="346"/>
        <v>1</v>
      </c>
    </row>
    <row r="933" spans="1:6" ht="30.75" customHeight="1" x14ac:dyDescent="0.2">
      <c r="A933">
        <f t="shared" ref="A933" si="347">A932+1</f>
        <v>186</v>
      </c>
      <c r="B933" s="22" t="s">
        <v>1714</v>
      </c>
      <c r="C933" s="22"/>
      <c r="D933" s="22"/>
      <c r="E933" s="22"/>
      <c r="F933" s="22"/>
    </row>
    <row r="934" spans="1:6" ht="16" x14ac:dyDescent="0.2">
      <c r="A934">
        <f t="shared" ref="A934:A937" si="348">A933</f>
        <v>186</v>
      </c>
      <c r="B934" t="s">
        <v>0</v>
      </c>
      <c r="C934" s="16" t="s">
        <v>1715</v>
      </c>
      <c r="D934" t="s">
        <v>7</v>
      </c>
      <c r="F934" t="b">
        <f t="shared" ref="F934:F937" si="349">D934=E934</f>
        <v>0</v>
      </c>
    </row>
    <row r="935" spans="1:6" ht="16" x14ac:dyDescent="0.2">
      <c r="A935">
        <f t="shared" si="348"/>
        <v>186</v>
      </c>
      <c r="B935" t="s">
        <v>1</v>
      </c>
      <c r="C935" s="16" t="s">
        <v>1716</v>
      </c>
      <c r="D935" t="s">
        <v>8</v>
      </c>
      <c r="F935" t="b">
        <f t="shared" si="349"/>
        <v>0</v>
      </c>
    </row>
    <row r="936" spans="1:6" ht="16" x14ac:dyDescent="0.2">
      <c r="A936">
        <f t="shared" si="348"/>
        <v>186</v>
      </c>
      <c r="B936" t="s">
        <v>2</v>
      </c>
      <c r="C936" s="16" t="s">
        <v>1717</v>
      </c>
      <c r="D936" t="s">
        <v>7</v>
      </c>
      <c r="F936" t="b">
        <f t="shared" si="349"/>
        <v>0</v>
      </c>
    </row>
    <row r="937" spans="1:6" ht="16" x14ac:dyDescent="0.2">
      <c r="A937">
        <f t="shared" si="348"/>
        <v>186</v>
      </c>
      <c r="B937" t="s">
        <v>3</v>
      </c>
      <c r="C937" s="16" t="s">
        <v>1718</v>
      </c>
      <c r="D937" t="s">
        <v>7</v>
      </c>
      <c r="F937" t="b">
        <f t="shared" si="349"/>
        <v>0</v>
      </c>
    </row>
    <row r="938" spans="1:6" x14ac:dyDescent="0.2">
      <c r="A938">
        <f t="shared" ref="A938" si="350">A937+1</f>
        <v>187</v>
      </c>
      <c r="B938" s="22" t="s">
        <v>1719</v>
      </c>
      <c r="C938" s="22"/>
      <c r="D938" s="22"/>
      <c r="E938" s="22"/>
      <c r="F938" s="22"/>
    </row>
    <row r="939" spans="1:6" ht="16" x14ac:dyDescent="0.2">
      <c r="A939">
        <f t="shared" ref="A939:A942" si="351">A938</f>
        <v>187</v>
      </c>
      <c r="B939" t="s">
        <v>0</v>
      </c>
      <c r="C939" s="16" t="s">
        <v>1720</v>
      </c>
      <c r="D939" t="s">
        <v>8</v>
      </c>
      <c r="F939" t="b">
        <f t="shared" ref="F939:F942" si="352">D939=E939</f>
        <v>0</v>
      </c>
    </row>
    <row r="940" spans="1:6" ht="16" x14ac:dyDescent="0.2">
      <c r="A940">
        <f t="shared" si="351"/>
        <v>187</v>
      </c>
      <c r="B940" t="s">
        <v>1</v>
      </c>
      <c r="C940" s="16" t="s">
        <v>1721</v>
      </c>
      <c r="D940" t="s">
        <v>7</v>
      </c>
      <c r="F940" t="b">
        <f t="shared" si="352"/>
        <v>0</v>
      </c>
    </row>
    <row r="941" spans="1:6" ht="16" x14ac:dyDescent="0.2">
      <c r="A941">
        <f t="shared" si="351"/>
        <v>187</v>
      </c>
      <c r="B941" t="s">
        <v>2</v>
      </c>
      <c r="C941" s="16" t="s">
        <v>1722</v>
      </c>
      <c r="D941" t="s">
        <v>7</v>
      </c>
      <c r="F941" t="b">
        <f t="shared" si="352"/>
        <v>0</v>
      </c>
    </row>
    <row r="942" spans="1:6" ht="16" x14ac:dyDescent="0.2">
      <c r="A942">
        <f t="shared" si="351"/>
        <v>187</v>
      </c>
      <c r="B942" t="s">
        <v>3</v>
      </c>
      <c r="C942" s="16" t="s">
        <v>1723</v>
      </c>
      <c r="D942" t="s">
        <v>7</v>
      </c>
      <c r="F942" t="b">
        <f t="shared" si="352"/>
        <v>0</v>
      </c>
    </row>
    <row r="943" spans="1:6" ht="30" customHeight="1" x14ac:dyDescent="0.2">
      <c r="A943">
        <f t="shared" ref="A943" si="353">A942+1</f>
        <v>188</v>
      </c>
      <c r="B943" s="22" t="s">
        <v>1724</v>
      </c>
      <c r="C943" s="22"/>
      <c r="D943" s="22"/>
      <c r="E943" s="22"/>
      <c r="F943" s="22"/>
    </row>
    <row r="944" spans="1:6" ht="16" x14ac:dyDescent="0.2">
      <c r="A944">
        <f t="shared" ref="A944:A947" si="354">A943</f>
        <v>188</v>
      </c>
      <c r="B944" t="s">
        <v>0</v>
      </c>
      <c r="C944" s="16" t="s">
        <v>1211</v>
      </c>
      <c r="D944" t="s">
        <v>7</v>
      </c>
      <c r="F944" t="b">
        <f t="shared" ref="F944:F947" si="355">D944=E944</f>
        <v>0</v>
      </c>
    </row>
    <row r="945" spans="1:6" ht="16" x14ac:dyDescent="0.2">
      <c r="A945">
        <f t="shared" si="354"/>
        <v>188</v>
      </c>
      <c r="B945" t="s">
        <v>1</v>
      </c>
      <c r="C945" s="16" t="s">
        <v>16</v>
      </c>
      <c r="D945" t="s">
        <v>8</v>
      </c>
      <c r="F945" t="b">
        <f t="shared" si="355"/>
        <v>0</v>
      </c>
    </row>
    <row r="946" spans="1:6" ht="16" x14ac:dyDescent="0.2">
      <c r="A946">
        <f t="shared" si="354"/>
        <v>188</v>
      </c>
      <c r="B946" t="s">
        <v>2</v>
      </c>
      <c r="C946" s="16" t="s">
        <v>1617</v>
      </c>
      <c r="D946" t="s">
        <v>7</v>
      </c>
      <c r="F946" t="b">
        <f t="shared" si="355"/>
        <v>0</v>
      </c>
    </row>
    <row r="947" spans="1:6" ht="16" x14ac:dyDescent="0.2">
      <c r="A947">
        <f t="shared" si="354"/>
        <v>188</v>
      </c>
      <c r="B947" t="s">
        <v>3</v>
      </c>
      <c r="C947" s="16" t="s">
        <v>1618</v>
      </c>
      <c r="D947" t="s">
        <v>7</v>
      </c>
      <c r="F947" t="b">
        <f t="shared" si="355"/>
        <v>0</v>
      </c>
    </row>
    <row r="948" spans="1:6" ht="30.75" customHeight="1" x14ac:dyDescent="0.2">
      <c r="A948">
        <f t="shared" ref="A948" si="356">A947+1</f>
        <v>189</v>
      </c>
      <c r="B948" s="22" t="s">
        <v>1725</v>
      </c>
      <c r="C948" s="22"/>
      <c r="D948" s="22"/>
      <c r="E948" s="22"/>
      <c r="F948" s="22"/>
    </row>
    <row r="949" spans="1:6" ht="16" x14ac:dyDescent="0.2">
      <c r="A949">
        <f t="shared" ref="A949:A952" si="357">A948</f>
        <v>189</v>
      </c>
      <c r="B949" t="s">
        <v>0</v>
      </c>
      <c r="C949" s="16" t="s">
        <v>1726</v>
      </c>
      <c r="D949" t="s">
        <v>8</v>
      </c>
      <c r="F949" t="b">
        <f t="shared" ref="F949:F952" si="358">D949=E949</f>
        <v>0</v>
      </c>
    </row>
    <row r="950" spans="1:6" ht="16" x14ac:dyDescent="0.2">
      <c r="A950">
        <f t="shared" si="357"/>
        <v>189</v>
      </c>
      <c r="B950" t="s">
        <v>1</v>
      </c>
      <c r="C950" s="16" t="s">
        <v>1727</v>
      </c>
      <c r="D950" t="s">
        <v>7</v>
      </c>
      <c r="F950" t="b">
        <f t="shared" si="358"/>
        <v>0</v>
      </c>
    </row>
    <row r="951" spans="1:6" ht="16" x14ac:dyDescent="0.2">
      <c r="A951">
        <f t="shared" si="357"/>
        <v>189</v>
      </c>
      <c r="B951" t="s">
        <v>2</v>
      </c>
      <c r="C951" s="16" t="s">
        <v>1728</v>
      </c>
      <c r="D951" t="s">
        <v>8</v>
      </c>
      <c r="F951" t="b">
        <f t="shared" si="358"/>
        <v>0</v>
      </c>
    </row>
    <row r="952" spans="1:6" ht="16" x14ac:dyDescent="0.2">
      <c r="A952">
        <f t="shared" si="357"/>
        <v>189</v>
      </c>
      <c r="B952" t="s">
        <v>3</v>
      </c>
      <c r="C952" s="16" t="s">
        <v>1729</v>
      </c>
      <c r="D952" t="s">
        <v>7</v>
      </c>
      <c r="F952" t="b">
        <f t="shared" si="358"/>
        <v>0</v>
      </c>
    </row>
    <row r="953" spans="1:6" x14ac:dyDescent="0.2">
      <c r="A953">
        <f t="shared" ref="A953" si="359">A952+1</f>
        <v>190</v>
      </c>
      <c r="B953" s="22" t="s">
        <v>1730</v>
      </c>
      <c r="C953" s="22"/>
      <c r="D953" s="22"/>
      <c r="E953" s="22"/>
      <c r="F953" s="22"/>
    </row>
    <row r="954" spans="1:6" ht="16" x14ac:dyDescent="0.2">
      <c r="A954">
        <f t="shared" ref="A954:A957" si="360">A953</f>
        <v>190</v>
      </c>
      <c r="B954" t="s">
        <v>0</v>
      </c>
      <c r="C954" s="16" t="s">
        <v>1390</v>
      </c>
      <c r="D954" t="s">
        <v>7</v>
      </c>
      <c r="F954" t="b">
        <f t="shared" ref="F954:F957" si="361">D954=E954</f>
        <v>0</v>
      </c>
    </row>
    <row r="955" spans="1:6" ht="16" x14ac:dyDescent="0.2">
      <c r="A955">
        <f t="shared" si="360"/>
        <v>190</v>
      </c>
      <c r="B955" t="s">
        <v>1</v>
      </c>
      <c r="C955" s="16" t="s">
        <v>1339</v>
      </c>
      <c r="D955" t="s">
        <v>8</v>
      </c>
      <c r="F955" t="b">
        <f t="shared" si="361"/>
        <v>0</v>
      </c>
    </row>
    <row r="956" spans="1:6" ht="16" x14ac:dyDescent="0.2">
      <c r="A956">
        <f t="shared" si="360"/>
        <v>190</v>
      </c>
      <c r="B956" t="s">
        <v>2</v>
      </c>
      <c r="C956" s="16" t="s">
        <v>1340</v>
      </c>
      <c r="D956" t="s">
        <v>7</v>
      </c>
      <c r="F956" t="b">
        <f t="shared" si="361"/>
        <v>0</v>
      </c>
    </row>
    <row r="957" spans="1:6" ht="16" x14ac:dyDescent="0.2">
      <c r="A957">
        <f t="shared" si="360"/>
        <v>190</v>
      </c>
      <c r="B957" t="s">
        <v>3</v>
      </c>
      <c r="C957" s="16" t="s">
        <v>1271</v>
      </c>
      <c r="D957" t="s">
        <v>7</v>
      </c>
      <c r="F957" t="b">
        <f t="shared" si="361"/>
        <v>0</v>
      </c>
    </row>
    <row r="958" spans="1:6" ht="30" customHeight="1" x14ac:dyDescent="0.2">
      <c r="A958">
        <f t="shared" ref="A958" si="362">A957+1</f>
        <v>191</v>
      </c>
      <c r="B958" s="22" t="s">
        <v>1731</v>
      </c>
      <c r="C958" s="22"/>
      <c r="D958" s="22"/>
      <c r="E958" s="22"/>
      <c r="F958" s="22"/>
    </row>
    <row r="959" spans="1:6" ht="16" x14ac:dyDescent="0.2">
      <c r="A959">
        <f t="shared" ref="A959:A962" si="363">A958</f>
        <v>191</v>
      </c>
      <c r="B959" t="s">
        <v>0</v>
      </c>
      <c r="C959" s="16" t="s">
        <v>1364</v>
      </c>
      <c r="D959" t="s">
        <v>7</v>
      </c>
      <c r="F959" t="b">
        <f t="shared" ref="F959:F962" si="364">D959=E959</f>
        <v>0</v>
      </c>
    </row>
    <row r="960" spans="1:6" ht="16" x14ac:dyDescent="0.2">
      <c r="A960">
        <f t="shared" si="363"/>
        <v>191</v>
      </c>
      <c r="B960" t="s">
        <v>1</v>
      </c>
      <c r="C960" s="16" t="s">
        <v>1454</v>
      </c>
      <c r="D960" t="s">
        <v>8</v>
      </c>
      <c r="F960" t="b">
        <f t="shared" si="364"/>
        <v>0</v>
      </c>
    </row>
    <row r="961" spans="1:6" ht="16" x14ac:dyDescent="0.2">
      <c r="A961">
        <f t="shared" si="363"/>
        <v>191</v>
      </c>
      <c r="B961" t="s">
        <v>2</v>
      </c>
      <c r="C961" s="16" t="s">
        <v>1455</v>
      </c>
      <c r="D961" t="s">
        <v>8</v>
      </c>
      <c r="F961" t="b">
        <f t="shared" si="364"/>
        <v>0</v>
      </c>
    </row>
    <row r="962" spans="1:6" ht="16" x14ac:dyDescent="0.2">
      <c r="A962">
        <f t="shared" si="363"/>
        <v>191</v>
      </c>
      <c r="B962" t="s">
        <v>3</v>
      </c>
      <c r="C962" s="16" t="s">
        <v>1456</v>
      </c>
      <c r="D962" t="s">
        <v>7</v>
      </c>
      <c r="F962" t="b">
        <f t="shared" si="364"/>
        <v>0</v>
      </c>
    </row>
    <row r="963" spans="1:6" ht="30.75" customHeight="1" x14ac:dyDescent="0.2">
      <c r="A963">
        <f t="shared" ref="A963" si="365">A962+1</f>
        <v>192</v>
      </c>
      <c r="B963" s="22" t="s">
        <v>1732</v>
      </c>
      <c r="C963" s="22"/>
      <c r="D963" s="22"/>
      <c r="E963" s="22"/>
      <c r="F963" s="22"/>
    </row>
    <row r="964" spans="1:6" ht="16" x14ac:dyDescent="0.2">
      <c r="A964">
        <f t="shared" ref="A964:A967" si="366">A963</f>
        <v>192</v>
      </c>
      <c r="B964" t="s">
        <v>0</v>
      </c>
      <c r="C964" s="16" t="s">
        <v>1261</v>
      </c>
      <c r="D964" t="s">
        <v>7</v>
      </c>
      <c r="F964" t="b">
        <f t="shared" ref="F964:F967" si="367">D964=E964</f>
        <v>0</v>
      </c>
    </row>
    <row r="965" spans="1:6" ht="16" x14ac:dyDescent="0.2">
      <c r="A965">
        <f t="shared" si="366"/>
        <v>192</v>
      </c>
      <c r="B965" t="s">
        <v>1</v>
      </c>
      <c r="C965" s="16" t="s">
        <v>1733</v>
      </c>
      <c r="D965" t="s">
        <v>8</v>
      </c>
      <c r="F965" t="b">
        <f t="shared" si="367"/>
        <v>0</v>
      </c>
    </row>
    <row r="966" spans="1:6" ht="16" x14ac:dyDescent="0.2">
      <c r="A966">
        <f t="shared" si="366"/>
        <v>192</v>
      </c>
      <c r="B966" t="s">
        <v>2</v>
      </c>
      <c r="C966" s="16" t="s">
        <v>1734</v>
      </c>
      <c r="D966" t="s">
        <v>7</v>
      </c>
      <c r="F966" t="b">
        <f t="shared" si="367"/>
        <v>0</v>
      </c>
    </row>
    <row r="967" spans="1:6" ht="16" x14ac:dyDescent="0.2">
      <c r="A967">
        <f t="shared" si="366"/>
        <v>192</v>
      </c>
      <c r="B967" t="s">
        <v>3</v>
      </c>
      <c r="C967" s="16" t="s">
        <v>10</v>
      </c>
      <c r="D967" t="s">
        <v>7</v>
      </c>
      <c r="F967" t="b">
        <f t="shared" si="367"/>
        <v>0</v>
      </c>
    </row>
    <row r="968" spans="1:6" ht="30" customHeight="1" x14ac:dyDescent="0.2">
      <c r="A968">
        <f t="shared" ref="A968" si="368">A967+1</f>
        <v>193</v>
      </c>
      <c r="B968" s="22" t="s">
        <v>1735</v>
      </c>
      <c r="C968" s="22"/>
      <c r="D968" s="22"/>
      <c r="E968" s="22"/>
      <c r="F968" s="22"/>
    </row>
    <row r="969" spans="1:6" ht="16" x14ac:dyDescent="0.2">
      <c r="A969">
        <f t="shared" ref="A969:A972" si="369">A968</f>
        <v>193</v>
      </c>
      <c r="B969" t="s">
        <v>0</v>
      </c>
      <c r="C969" s="16" t="s">
        <v>1221</v>
      </c>
      <c r="D969" t="s">
        <v>8</v>
      </c>
      <c r="F969" t="b">
        <f t="shared" ref="F969:F972" si="370">D969=E969</f>
        <v>0</v>
      </c>
    </row>
    <row r="970" spans="1:6" ht="16" x14ac:dyDescent="0.2">
      <c r="A970">
        <f t="shared" si="369"/>
        <v>193</v>
      </c>
      <c r="B970" t="s">
        <v>1</v>
      </c>
      <c r="C970" s="16" t="s">
        <v>867</v>
      </c>
      <c r="D970" t="s">
        <v>7</v>
      </c>
      <c r="F970" t="b">
        <f t="shared" si="370"/>
        <v>0</v>
      </c>
    </row>
    <row r="971" spans="1:6" ht="16" x14ac:dyDescent="0.2">
      <c r="A971">
        <f t="shared" si="369"/>
        <v>193</v>
      </c>
      <c r="B971" t="s">
        <v>2</v>
      </c>
      <c r="C971" s="16" t="s">
        <v>1284</v>
      </c>
      <c r="D971" t="s">
        <v>7</v>
      </c>
      <c r="F971" t="b">
        <f t="shared" si="370"/>
        <v>0</v>
      </c>
    </row>
    <row r="972" spans="1:6" ht="16" x14ac:dyDescent="0.2">
      <c r="A972">
        <f t="shared" si="369"/>
        <v>193</v>
      </c>
      <c r="B972" t="s">
        <v>3</v>
      </c>
      <c r="C972" s="16" t="s">
        <v>1285</v>
      </c>
      <c r="D972" t="s">
        <v>7</v>
      </c>
      <c r="F972" t="b">
        <f t="shared" si="370"/>
        <v>0</v>
      </c>
    </row>
    <row r="973" spans="1:6" ht="33.75" customHeight="1" x14ac:dyDescent="0.2">
      <c r="A973">
        <f t="shared" ref="A973" si="371">A972+1</f>
        <v>194</v>
      </c>
      <c r="B973" s="22" t="s">
        <v>1736</v>
      </c>
      <c r="C973" s="22"/>
      <c r="D973" s="22"/>
      <c r="E973" s="22"/>
      <c r="F973" s="22"/>
    </row>
    <row r="974" spans="1:6" ht="16" x14ac:dyDescent="0.2">
      <c r="A974">
        <f t="shared" ref="A974:A977" si="372">A973</f>
        <v>194</v>
      </c>
      <c r="B974" t="s">
        <v>0</v>
      </c>
      <c r="C974" s="16" t="s">
        <v>1344</v>
      </c>
      <c r="D974" t="s">
        <v>8</v>
      </c>
      <c r="F974" t="b">
        <f t="shared" ref="F974:F977" si="373">D974=E974</f>
        <v>0</v>
      </c>
    </row>
    <row r="975" spans="1:6" ht="16" x14ac:dyDescent="0.2">
      <c r="A975">
        <f t="shared" si="372"/>
        <v>194</v>
      </c>
      <c r="B975" t="s">
        <v>1</v>
      </c>
      <c r="C975" s="16" t="s">
        <v>1519</v>
      </c>
      <c r="D975" t="s">
        <v>7</v>
      </c>
      <c r="F975" t="b">
        <f t="shared" si="373"/>
        <v>0</v>
      </c>
    </row>
    <row r="976" spans="1:6" ht="16" x14ac:dyDescent="0.2">
      <c r="A976">
        <f t="shared" si="372"/>
        <v>194</v>
      </c>
      <c r="B976" t="s">
        <v>2</v>
      </c>
      <c r="C976" s="16" t="s">
        <v>21</v>
      </c>
      <c r="D976" t="s">
        <v>7</v>
      </c>
      <c r="F976" t="b">
        <f t="shared" si="373"/>
        <v>0</v>
      </c>
    </row>
    <row r="977" spans="1:6" ht="16" x14ac:dyDescent="0.2">
      <c r="A977">
        <f t="shared" si="372"/>
        <v>194</v>
      </c>
      <c r="B977" t="s">
        <v>3</v>
      </c>
      <c r="C977" s="16" t="s">
        <v>496</v>
      </c>
      <c r="D977" t="s">
        <v>7</v>
      </c>
      <c r="F977" t="b">
        <f t="shared" si="373"/>
        <v>0</v>
      </c>
    </row>
    <row r="978" spans="1:6" x14ac:dyDescent="0.2">
      <c r="A978">
        <f t="shared" ref="A978" si="374">A977+1</f>
        <v>195</v>
      </c>
      <c r="B978" s="22" t="s">
        <v>1737</v>
      </c>
      <c r="C978" s="22"/>
      <c r="D978" s="22"/>
      <c r="E978" s="22"/>
      <c r="F978" s="22"/>
    </row>
    <row r="979" spans="1:6" ht="16" x14ac:dyDescent="0.2">
      <c r="A979">
        <f t="shared" ref="A979:A982" si="375">A978</f>
        <v>195</v>
      </c>
      <c r="B979" t="s">
        <v>0</v>
      </c>
      <c r="C979" s="16" t="s">
        <v>1355</v>
      </c>
      <c r="D979" t="s">
        <v>7</v>
      </c>
      <c r="F979" t="b">
        <f t="shared" ref="F979:F982" si="376">D979=E979</f>
        <v>0</v>
      </c>
    </row>
    <row r="980" spans="1:6" ht="16" x14ac:dyDescent="0.2">
      <c r="A980">
        <f t="shared" si="375"/>
        <v>195</v>
      </c>
      <c r="B980" t="s">
        <v>1</v>
      </c>
      <c r="C980" s="16" t="s">
        <v>1356</v>
      </c>
      <c r="D980" t="s">
        <v>7</v>
      </c>
      <c r="F980" t="b">
        <f t="shared" si="376"/>
        <v>0</v>
      </c>
    </row>
    <row r="981" spans="1:6" ht="16" x14ac:dyDescent="0.2">
      <c r="A981">
        <f t="shared" si="375"/>
        <v>195</v>
      </c>
      <c r="B981" t="s">
        <v>2</v>
      </c>
      <c r="C981" s="16" t="s">
        <v>1738</v>
      </c>
      <c r="D981" t="s">
        <v>8</v>
      </c>
      <c r="F981" t="b">
        <f t="shared" si="376"/>
        <v>0</v>
      </c>
    </row>
    <row r="982" spans="1:6" ht="16" x14ac:dyDescent="0.2">
      <c r="A982">
        <f t="shared" si="375"/>
        <v>195</v>
      </c>
      <c r="B982" t="s">
        <v>3</v>
      </c>
      <c r="C982" s="16" t="s">
        <v>1527</v>
      </c>
      <c r="D982" t="s">
        <v>7</v>
      </c>
      <c r="F982" t="b">
        <f t="shared" si="376"/>
        <v>0</v>
      </c>
    </row>
  </sheetData>
  <mergeCells count="196">
    <mergeCell ref="B963:F963"/>
    <mergeCell ref="B968:F968"/>
    <mergeCell ref="B973:F973"/>
    <mergeCell ref="B978:F978"/>
    <mergeCell ref="B933:F933"/>
    <mergeCell ref="B938:F938"/>
    <mergeCell ref="B943:F943"/>
    <mergeCell ref="B948:F948"/>
    <mergeCell ref="B953:F953"/>
    <mergeCell ref="B958:F958"/>
    <mergeCell ref="B903:F903"/>
    <mergeCell ref="B908:F908"/>
    <mergeCell ref="B913:F913"/>
    <mergeCell ref="B918:F918"/>
    <mergeCell ref="B923:F923"/>
    <mergeCell ref="B928:F928"/>
    <mergeCell ref="B873:F873"/>
    <mergeCell ref="B878:F878"/>
    <mergeCell ref="B883:F883"/>
    <mergeCell ref="B888:F888"/>
    <mergeCell ref="B893:F893"/>
    <mergeCell ref="B898:F898"/>
    <mergeCell ref="B843:F843"/>
    <mergeCell ref="B848:F848"/>
    <mergeCell ref="B853:F853"/>
    <mergeCell ref="B858:F858"/>
    <mergeCell ref="B863:F863"/>
    <mergeCell ref="B868:F868"/>
    <mergeCell ref="B813:F813"/>
    <mergeCell ref="B818:F818"/>
    <mergeCell ref="B823:F823"/>
    <mergeCell ref="B828:F828"/>
    <mergeCell ref="B833:F833"/>
    <mergeCell ref="B838:F838"/>
    <mergeCell ref="B783:F783"/>
    <mergeCell ref="B788:F788"/>
    <mergeCell ref="B793:F793"/>
    <mergeCell ref="B798:F798"/>
    <mergeCell ref="B803:F803"/>
    <mergeCell ref="B808:F808"/>
    <mergeCell ref="B753:F753"/>
    <mergeCell ref="B758:F758"/>
    <mergeCell ref="B763:F763"/>
    <mergeCell ref="B768:F768"/>
    <mergeCell ref="B773:F773"/>
    <mergeCell ref="B778:F778"/>
    <mergeCell ref="B721:F721"/>
    <mergeCell ref="B726:F726"/>
    <mergeCell ref="B731:F731"/>
    <mergeCell ref="B736:F736"/>
    <mergeCell ref="B741:F741"/>
    <mergeCell ref="B746:F746"/>
    <mergeCell ref="B691:F691"/>
    <mergeCell ref="B696:F696"/>
    <mergeCell ref="B701:F701"/>
    <mergeCell ref="B706:F706"/>
    <mergeCell ref="B711:F711"/>
    <mergeCell ref="B716:F716"/>
    <mergeCell ref="B661:F661"/>
    <mergeCell ref="B666:F666"/>
    <mergeCell ref="B671:F671"/>
    <mergeCell ref="B676:F676"/>
    <mergeCell ref="B681:F681"/>
    <mergeCell ref="B686:F686"/>
    <mergeCell ref="B631:F631"/>
    <mergeCell ref="B636:F636"/>
    <mergeCell ref="B641:F641"/>
    <mergeCell ref="B646:F646"/>
    <mergeCell ref="B651:F651"/>
    <mergeCell ref="B656:F656"/>
    <mergeCell ref="B601:F601"/>
    <mergeCell ref="B606:F606"/>
    <mergeCell ref="B611:F611"/>
    <mergeCell ref="B616:F616"/>
    <mergeCell ref="B621:F621"/>
    <mergeCell ref="B626:F626"/>
    <mergeCell ref="B571:F571"/>
    <mergeCell ref="B576:F576"/>
    <mergeCell ref="B581:F581"/>
    <mergeCell ref="B586:F586"/>
    <mergeCell ref="B591:F591"/>
    <mergeCell ref="B596:F596"/>
    <mergeCell ref="B541:F541"/>
    <mergeCell ref="B546:F546"/>
    <mergeCell ref="B551:F551"/>
    <mergeCell ref="B556:F556"/>
    <mergeCell ref="B561:F561"/>
    <mergeCell ref="B566:F566"/>
    <mergeCell ref="B511:F511"/>
    <mergeCell ref="B516:F516"/>
    <mergeCell ref="B521:F521"/>
    <mergeCell ref="B526:F526"/>
    <mergeCell ref="B531:F531"/>
    <mergeCell ref="B536:F536"/>
    <mergeCell ref="B481:F481"/>
    <mergeCell ref="B486:F486"/>
    <mergeCell ref="B491:F491"/>
    <mergeCell ref="B496:F496"/>
    <mergeCell ref="B501:F501"/>
    <mergeCell ref="B506:F506"/>
    <mergeCell ref="B451:F451"/>
    <mergeCell ref="B456:F456"/>
    <mergeCell ref="B461:F461"/>
    <mergeCell ref="B466:F466"/>
    <mergeCell ref="B471:F471"/>
    <mergeCell ref="B476:F476"/>
    <mergeCell ref="B420:F420"/>
    <mergeCell ref="B425:F425"/>
    <mergeCell ref="B431:F431"/>
    <mergeCell ref="B436:F436"/>
    <mergeCell ref="B441:F441"/>
    <mergeCell ref="B446:F446"/>
    <mergeCell ref="B390:F390"/>
    <mergeCell ref="B395:F395"/>
    <mergeCell ref="B400:F400"/>
    <mergeCell ref="B405:F405"/>
    <mergeCell ref="B410:F410"/>
    <mergeCell ref="B415:F415"/>
    <mergeCell ref="B360:F360"/>
    <mergeCell ref="B365:F365"/>
    <mergeCell ref="B370:F370"/>
    <mergeCell ref="B375:F375"/>
    <mergeCell ref="B380:F380"/>
    <mergeCell ref="B385:F385"/>
    <mergeCell ref="B330:F330"/>
    <mergeCell ref="B335:F335"/>
    <mergeCell ref="B340:F340"/>
    <mergeCell ref="B345:F345"/>
    <mergeCell ref="B350:F350"/>
    <mergeCell ref="B355:F355"/>
    <mergeCell ref="B300:F300"/>
    <mergeCell ref="B305:F305"/>
    <mergeCell ref="B310:F310"/>
    <mergeCell ref="B315:F315"/>
    <mergeCell ref="B320:F320"/>
    <mergeCell ref="B325:F325"/>
    <mergeCell ref="B270:F270"/>
    <mergeCell ref="B275:F275"/>
    <mergeCell ref="B280:F280"/>
    <mergeCell ref="B285:F285"/>
    <mergeCell ref="B290:F290"/>
    <mergeCell ref="B295:F295"/>
    <mergeCell ref="B240:F240"/>
    <mergeCell ref="B245:F245"/>
    <mergeCell ref="B250:F250"/>
    <mergeCell ref="B255:F255"/>
    <mergeCell ref="B260:F260"/>
    <mergeCell ref="B265:F265"/>
    <mergeCell ref="B210:F210"/>
    <mergeCell ref="B215:F215"/>
    <mergeCell ref="B220:F220"/>
    <mergeCell ref="B225:F225"/>
    <mergeCell ref="B230:F230"/>
    <mergeCell ref="B235:F235"/>
    <mergeCell ref="B180:F180"/>
    <mergeCell ref="B185:F185"/>
    <mergeCell ref="B190:F190"/>
    <mergeCell ref="B195:F195"/>
    <mergeCell ref="B200:F200"/>
    <mergeCell ref="B205:F205"/>
    <mergeCell ref="B149:F149"/>
    <mergeCell ref="B154:F154"/>
    <mergeCell ref="B160:F160"/>
    <mergeCell ref="B165:F165"/>
    <mergeCell ref="B170:F170"/>
    <mergeCell ref="B175:F175"/>
    <mergeCell ref="B119:F119"/>
    <mergeCell ref="B124:F124"/>
    <mergeCell ref="B129:F129"/>
    <mergeCell ref="B134:F134"/>
    <mergeCell ref="B139:F139"/>
    <mergeCell ref="B144:F144"/>
    <mergeCell ref="B89:F89"/>
    <mergeCell ref="B94:F94"/>
    <mergeCell ref="B99:F99"/>
    <mergeCell ref="B104:F104"/>
    <mergeCell ref="B109:F109"/>
    <mergeCell ref="B114:F114"/>
    <mergeCell ref="B73:F73"/>
    <mergeCell ref="B78:F78"/>
    <mergeCell ref="B83:F83"/>
    <mergeCell ref="B28:F28"/>
    <mergeCell ref="B33:F33"/>
    <mergeCell ref="B38:F38"/>
    <mergeCell ref="B43:F43"/>
    <mergeCell ref="B48:F48"/>
    <mergeCell ref="B53:F53"/>
    <mergeCell ref="A1:C1"/>
    <mergeCell ref="B2:F2"/>
    <mergeCell ref="B8:F8"/>
    <mergeCell ref="B13:F13"/>
    <mergeCell ref="B18:F18"/>
    <mergeCell ref="B23:F23"/>
    <mergeCell ref="B58:F58"/>
    <mergeCell ref="B63:F63"/>
    <mergeCell ref="B68:F68"/>
  </mergeCells>
  <conditionalFormatting sqref="F1 F396:F399 F3:F7 F9:F12 F14:F17 F19:F22 F24:F37 F39:F47 F49:F57 F59:F62 F64:F67 F69:F72 F74:F77 F79:F82 F84:F88 F90:F93 F95:F98 F100:F103 F105:F108 F110:F113 F115:F118 F120:F123 F125:F128 F130:F133 F135:F153 F155:F159 F161:F169 F171:F174 F176:F179 F181:F194 F196:F199 F201:F209 F211:F224 F226:F229 F231:F234 F236:F244 F246:F264 F266:F269 F271:F274 F276:F279 F281:F289 F291:F294 F296:F299 F301:F304 F306:F309 F311:F319 F321:F324 F326:F329 F331:F334 F336:F369 F371:F374 F376:F394">
    <cfRule type="cellIs" dxfId="67" priority="9" operator="equal">
      <formula>FALSE</formula>
    </cfRule>
    <cfRule type="cellIs" dxfId="66" priority="10" operator="equal">
      <formula>TRUE</formula>
    </cfRule>
  </conditionalFormatting>
  <conditionalFormatting sqref="F401:F404 F411:F414 F421:F424 F432:F435 F442:F445 F452:F455 F462:F465 F472:F475 F482:F485 F492:F495 F502:F505 F512:F515 F522:F525 F532:F535 F542:F545 F552:F555 F562:F565 F572:F575 F582:F585 F592:F595 F602:F605 F612:F615 F622:F625 F632:F635 F642:F645 F652:F655 F662:F665 F672:F675 F682:F685 F692:F695 F702:F705 F712:F715 F722:F725 F732:F735 F742:F745 F754:F757 F764:F767 F774:F777 F784:F787 F794:F797 F804:F807 F814:F817 F824:F827 F834:F837 F844:F847 F854:F857 F864:F867 F874:F877 F884:F887 F894:F897 F904:F907 F914:F917 F924:F927 F934:F937 F944:F947 F954:F957 F964:F967 F974:F977">
    <cfRule type="cellIs" dxfId="65" priority="7" operator="equal">
      <formula>FALSE</formula>
    </cfRule>
    <cfRule type="cellIs" dxfId="64" priority="8" operator="equal">
      <formula>TRUE</formula>
    </cfRule>
  </conditionalFormatting>
  <conditionalFormatting sqref="F406:F409 F416:F419 F426:F429 F437:F440 F447:F450 F457:F460 F467:F470 F477:F480 F487:F490 F497:F500 F507:F510 F517:F520 F527:F530 F537:F540 F547:F550 F557:F560 F567:F570 F577:F580 F587:F590 F597:F600 F607:F610 F617:F620 F627:F630 F637:F640 F647:F650 F657:F660 F667:F670 F677:F680 F687:F690 F697:F700 F707:F710 F717:F720 F727:F730 F737:F740 F747:F750 F759:F762 F769:F772 F779:F782 F789:F792 F799:F802 F809:F812 F819:F822 F829:F832 F839:F842 F849:F852 F859:F862 F869:F872 F879:F882 F889:F892 F899:F902 F909:F912 F919:F922 F929:F932 F939:F942 F949:F952 F959:F962 F969:F972 F979:F982">
    <cfRule type="cellIs" dxfId="63" priority="5" operator="equal">
      <formula>FALSE</formula>
    </cfRule>
    <cfRule type="cellIs" dxfId="62" priority="6" operator="equal">
      <formula>TRUE</formula>
    </cfRule>
  </conditionalFormatting>
  <conditionalFormatting sqref="F430">
    <cfRule type="cellIs" dxfId="61" priority="3" operator="equal">
      <formula>FALSE</formula>
    </cfRule>
    <cfRule type="cellIs" dxfId="60" priority="4" operator="equal">
      <formula>TRUE</formula>
    </cfRule>
  </conditionalFormatting>
  <conditionalFormatting sqref="F751:F752">
    <cfRule type="cellIs" dxfId="59" priority="1" operator="equal">
      <formula>FALSE</formula>
    </cfRule>
    <cfRule type="cellIs" dxfId="58" priority="2" operator="equal">
      <formula>TRUE</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7"/>
  <sheetViews>
    <sheetView workbookViewId="0"/>
  </sheetViews>
  <sheetFormatPr baseColWidth="10" defaultColWidth="8.83203125" defaultRowHeight="15" x14ac:dyDescent="0.2"/>
  <cols>
    <col min="2" max="2" width="10.5" customWidth="1"/>
    <col min="3" max="3" width="43" customWidth="1"/>
    <col min="4" max="4" width="2.6640625" hidden="1" customWidth="1"/>
    <col min="6" max="6" width="9.1640625" customWidth="1"/>
  </cols>
  <sheetData>
    <row r="1" spans="1:6" ht="60" customHeight="1" x14ac:dyDescent="0.2">
      <c r="A1">
        <v>1</v>
      </c>
      <c r="B1" s="25" t="s">
        <v>1739</v>
      </c>
      <c r="C1" s="25"/>
      <c r="D1" s="17"/>
    </row>
    <row r="2" spans="1:6" x14ac:dyDescent="0.2">
      <c r="A2">
        <v>1</v>
      </c>
      <c r="B2" t="s">
        <v>0</v>
      </c>
      <c r="C2" t="s">
        <v>929</v>
      </c>
      <c r="D2" t="s">
        <v>8</v>
      </c>
      <c r="F2" t="b">
        <f>E2=D2</f>
        <v>0</v>
      </c>
    </row>
    <row r="3" spans="1:6" x14ac:dyDescent="0.2">
      <c r="A3">
        <v>1</v>
      </c>
      <c r="B3" t="s">
        <v>1</v>
      </c>
      <c r="C3" t="s">
        <v>931</v>
      </c>
      <c r="D3" t="s">
        <v>7</v>
      </c>
      <c r="F3" t="b">
        <f t="shared" ref="F3:F5" si="0">E3=D3</f>
        <v>0</v>
      </c>
    </row>
    <row r="4" spans="1:6" x14ac:dyDescent="0.2">
      <c r="A4">
        <v>1</v>
      </c>
      <c r="B4" t="s">
        <v>2</v>
      </c>
      <c r="C4" t="s">
        <v>1740</v>
      </c>
      <c r="D4" t="s">
        <v>7</v>
      </c>
      <c r="F4" t="b">
        <f t="shared" si="0"/>
        <v>0</v>
      </c>
    </row>
    <row r="5" spans="1:6" x14ac:dyDescent="0.2">
      <c r="A5">
        <v>1</v>
      </c>
      <c r="B5" t="s">
        <v>3</v>
      </c>
      <c r="C5" t="s">
        <v>1741</v>
      </c>
      <c r="D5" t="s">
        <v>7</v>
      </c>
      <c r="F5" t="b">
        <f t="shared" si="0"/>
        <v>0</v>
      </c>
    </row>
    <row r="6" spans="1:6" ht="36" customHeight="1" x14ac:dyDescent="0.2">
      <c r="A6">
        <v>2</v>
      </c>
      <c r="B6" s="25" t="s">
        <v>1742</v>
      </c>
      <c r="C6" s="25"/>
    </row>
    <row r="7" spans="1:6" x14ac:dyDescent="0.2">
      <c r="A7">
        <v>2</v>
      </c>
      <c r="B7" t="s">
        <v>0</v>
      </c>
      <c r="C7" t="s">
        <v>512</v>
      </c>
      <c r="D7" t="s">
        <v>7</v>
      </c>
      <c r="F7" t="b">
        <f>E7=D7</f>
        <v>0</v>
      </c>
    </row>
    <row r="8" spans="1:6" x14ac:dyDescent="0.2">
      <c r="A8">
        <v>2</v>
      </c>
      <c r="B8" t="s">
        <v>1</v>
      </c>
      <c r="C8" t="s">
        <v>1497</v>
      </c>
      <c r="D8" t="s">
        <v>8</v>
      </c>
      <c r="F8" t="b">
        <f t="shared" ref="F8:F10" si="1">E8=D8</f>
        <v>0</v>
      </c>
    </row>
    <row r="9" spans="1:6" x14ac:dyDescent="0.2">
      <c r="A9">
        <v>2</v>
      </c>
      <c r="B9" t="s">
        <v>2</v>
      </c>
      <c r="C9" t="s">
        <v>511</v>
      </c>
      <c r="D9" t="s">
        <v>7</v>
      </c>
      <c r="F9" t="b">
        <f t="shared" si="1"/>
        <v>0</v>
      </c>
    </row>
    <row r="10" spans="1:6" x14ac:dyDescent="0.2">
      <c r="A10">
        <v>2</v>
      </c>
      <c r="B10" t="s">
        <v>3</v>
      </c>
      <c r="C10" t="s">
        <v>1743</v>
      </c>
      <c r="D10" t="s">
        <v>7</v>
      </c>
      <c r="F10" t="b">
        <f t="shared" si="1"/>
        <v>0</v>
      </c>
    </row>
    <row r="11" spans="1:6" x14ac:dyDescent="0.2">
      <c r="A11">
        <v>3</v>
      </c>
      <c r="B11" s="26" t="s">
        <v>1744</v>
      </c>
      <c r="C11" s="26"/>
    </row>
    <row r="12" spans="1:6" x14ac:dyDescent="0.2">
      <c r="A12">
        <v>3</v>
      </c>
      <c r="B12" t="s">
        <v>0</v>
      </c>
      <c r="C12" t="s">
        <v>1745</v>
      </c>
      <c r="D12" t="s">
        <v>7</v>
      </c>
      <c r="F12" t="b">
        <f>E12=D12</f>
        <v>0</v>
      </c>
    </row>
    <row r="13" spans="1:6" x14ac:dyDescent="0.2">
      <c r="A13">
        <v>3</v>
      </c>
      <c r="B13" t="s">
        <v>1</v>
      </c>
      <c r="C13" t="s">
        <v>1746</v>
      </c>
      <c r="D13" t="s">
        <v>7</v>
      </c>
      <c r="F13" t="b">
        <f t="shared" ref="F13:F15" si="2">E13=D13</f>
        <v>0</v>
      </c>
    </row>
    <row r="14" spans="1:6" x14ac:dyDescent="0.2">
      <c r="A14">
        <v>3</v>
      </c>
      <c r="B14" t="s">
        <v>2</v>
      </c>
      <c r="C14" t="s">
        <v>1747</v>
      </c>
      <c r="D14" t="s">
        <v>8</v>
      </c>
      <c r="F14" t="b">
        <f t="shared" si="2"/>
        <v>0</v>
      </c>
    </row>
    <row r="15" spans="1:6" x14ac:dyDescent="0.2">
      <c r="A15">
        <v>3</v>
      </c>
      <c r="B15" t="s">
        <v>3</v>
      </c>
      <c r="C15" t="s">
        <v>1748</v>
      </c>
      <c r="D15" t="s">
        <v>7</v>
      </c>
      <c r="F15" t="b">
        <f t="shared" si="2"/>
        <v>0</v>
      </c>
    </row>
    <row r="16" spans="1:6" ht="36" customHeight="1" x14ac:dyDescent="0.2">
      <c r="A16">
        <v>4</v>
      </c>
      <c r="B16" s="25" t="s">
        <v>1749</v>
      </c>
      <c r="C16" s="25"/>
    </row>
    <row r="17" spans="1:6" x14ac:dyDescent="0.2">
      <c r="A17">
        <v>4</v>
      </c>
      <c r="B17" t="s">
        <v>0</v>
      </c>
      <c r="C17" t="s">
        <v>1750</v>
      </c>
      <c r="D17" t="s">
        <v>7</v>
      </c>
      <c r="F17" t="b">
        <f>E17=D17</f>
        <v>0</v>
      </c>
    </row>
    <row r="18" spans="1:6" x14ac:dyDescent="0.2">
      <c r="A18">
        <v>4</v>
      </c>
      <c r="B18" t="s">
        <v>1</v>
      </c>
      <c r="C18" t="s">
        <v>1137</v>
      </c>
      <c r="D18" t="s">
        <v>7</v>
      </c>
      <c r="F18" t="b">
        <f t="shared" ref="F18:F20" si="3">E18=D18</f>
        <v>0</v>
      </c>
    </row>
    <row r="19" spans="1:6" x14ac:dyDescent="0.2">
      <c r="A19">
        <v>4</v>
      </c>
      <c r="B19" t="s">
        <v>2</v>
      </c>
      <c r="C19" t="s">
        <v>1093</v>
      </c>
      <c r="D19" t="s">
        <v>7</v>
      </c>
      <c r="F19" t="b">
        <f t="shared" si="3"/>
        <v>0</v>
      </c>
    </row>
    <row r="20" spans="1:6" x14ac:dyDescent="0.2">
      <c r="A20">
        <v>4</v>
      </c>
      <c r="B20" t="s">
        <v>3</v>
      </c>
      <c r="C20" t="s">
        <v>1218</v>
      </c>
      <c r="D20" t="s">
        <v>8</v>
      </c>
      <c r="F20" t="b">
        <f t="shared" si="3"/>
        <v>0</v>
      </c>
    </row>
    <row r="21" spans="1:6" x14ac:dyDescent="0.2">
      <c r="A21">
        <v>5</v>
      </c>
      <c r="B21" s="26" t="s">
        <v>1751</v>
      </c>
      <c r="C21" s="26"/>
    </row>
    <row r="22" spans="1:6" x14ac:dyDescent="0.2">
      <c r="A22">
        <v>5</v>
      </c>
      <c r="B22" t="s">
        <v>0</v>
      </c>
      <c r="C22" t="s">
        <v>1752</v>
      </c>
      <c r="D22" t="s">
        <v>7</v>
      </c>
      <c r="F22" t="b">
        <f>E22=D22</f>
        <v>0</v>
      </c>
    </row>
    <row r="23" spans="1:6" ht="32" x14ac:dyDescent="0.2">
      <c r="A23">
        <v>5</v>
      </c>
      <c r="B23" t="s">
        <v>1</v>
      </c>
      <c r="C23" s="16" t="s">
        <v>1753</v>
      </c>
      <c r="D23" t="s">
        <v>7</v>
      </c>
      <c r="F23" t="b">
        <f t="shared" ref="F23:F25" si="4">E23=D23</f>
        <v>0</v>
      </c>
    </row>
    <row r="24" spans="1:6" x14ac:dyDescent="0.2">
      <c r="A24">
        <v>5</v>
      </c>
      <c r="B24" t="s">
        <v>2</v>
      </c>
      <c r="C24" t="s">
        <v>1754</v>
      </c>
      <c r="D24" t="s">
        <v>7</v>
      </c>
      <c r="F24" t="b">
        <f t="shared" si="4"/>
        <v>0</v>
      </c>
    </row>
    <row r="25" spans="1:6" x14ac:dyDescent="0.2">
      <c r="A25">
        <v>5</v>
      </c>
      <c r="B25" t="s">
        <v>3</v>
      </c>
      <c r="C25" t="s">
        <v>1755</v>
      </c>
      <c r="D25" t="s">
        <v>8</v>
      </c>
      <c r="F25" t="b">
        <f t="shared" si="4"/>
        <v>0</v>
      </c>
    </row>
    <row r="26" spans="1:6" ht="30.75" customHeight="1" x14ac:dyDescent="0.2">
      <c r="A26">
        <v>6</v>
      </c>
      <c r="B26" s="25" t="s">
        <v>1756</v>
      </c>
      <c r="C26" s="25"/>
    </row>
    <row r="27" spans="1:6" x14ac:dyDescent="0.2">
      <c r="A27">
        <v>6</v>
      </c>
      <c r="B27" t="s">
        <v>0</v>
      </c>
      <c r="C27" t="s">
        <v>1432</v>
      </c>
      <c r="D27" t="s">
        <v>7</v>
      </c>
      <c r="F27" t="b">
        <f>E27=D27</f>
        <v>0</v>
      </c>
    </row>
    <row r="28" spans="1:6" x14ac:dyDescent="0.2">
      <c r="A28">
        <v>6</v>
      </c>
      <c r="B28" t="s">
        <v>1</v>
      </c>
      <c r="C28" t="s">
        <v>1434</v>
      </c>
      <c r="D28" t="s">
        <v>7</v>
      </c>
      <c r="F28" t="b">
        <f t="shared" ref="F28:F30" si="5">E28=D28</f>
        <v>0</v>
      </c>
    </row>
    <row r="29" spans="1:6" x14ac:dyDescent="0.2">
      <c r="A29">
        <v>6</v>
      </c>
      <c r="B29" t="s">
        <v>2</v>
      </c>
      <c r="C29" t="s">
        <v>1757</v>
      </c>
      <c r="D29" t="s">
        <v>8</v>
      </c>
      <c r="F29" t="b">
        <f t="shared" si="5"/>
        <v>0</v>
      </c>
    </row>
    <row r="30" spans="1:6" x14ac:dyDescent="0.2">
      <c r="A30">
        <v>6</v>
      </c>
      <c r="B30" t="s">
        <v>3</v>
      </c>
      <c r="C30" t="s">
        <v>1758</v>
      </c>
      <c r="D30" t="s">
        <v>7</v>
      </c>
      <c r="F30" t="b">
        <f t="shared" si="5"/>
        <v>0</v>
      </c>
    </row>
    <row r="31" spans="1:6" ht="54.75" customHeight="1" x14ac:dyDescent="0.2">
      <c r="A31">
        <v>7</v>
      </c>
      <c r="B31" s="25" t="s">
        <v>1759</v>
      </c>
      <c r="C31" s="25"/>
    </row>
    <row r="32" spans="1:6" x14ac:dyDescent="0.2">
      <c r="A32">
        <v>7</v>
      </c>
      <c r="B32" t="s">
        <v>0</v>
      </c>
      <c r="C32" t="s">
        <v>1760</v>
      </c>
      <c r="D32" t="s">
        <v>7</v>
      </c>
      <c r="F32" t="b">
        <f>E32=D32</f>
        <v>0</v>
      </c>
    </row>
    <row r="33" spans="1:6" x14ac:dyDescent="0.2">
      <c r="A33">
        <v>7</v>
      </c>
      <c r="B33" t="s">
        <v>1</v>
      </c>
      <c r="C33" t="s">
        <v>1680</v>
      </c>
      <c r="D33" t="s">
        <v>7</v>
      </c>
      <c r="F33" t="b">
        <f t="shared" ref="F33:F35" si="6">E33=D33</f>
        <v>0</v>
      </c>
    </row>
    <row r="34" spans="1:6" x14ac:dyDescent="0.2">
      <c r="A34">
        <v>7</v>
      </c>
      <c r="B34" t="s">
        <v>2</v>
      </c>
      <c r="C34" t="s">
        <v>14</v>
      </c>
      <c r="D34" t="s">
        <v>7</v>
      </c>
      <c r="F34" t="b">
        <f t="shared" si="6"/>
        <v>0</v>
      </c>
    </row>
    <row r="35" spans="1:6" x14ac:dyDescent="0.2">
      <c r="A35">
        <v>7</v>
      </c>
      <c r="B35" t="s">
        <v>3</v>
      </c>
      <c r="C35" t="s">
        <v>4</v>
      </c>
      <c r="D35" t="s">
        <v>8</v>
      </c>
      <c r="F35" t="b">
        <f t="shared" si="6"/>
        <v>0</v>
      </c>
    </row>
    <row r="36" spans="1:6" ht="30.75" customHeight="1" x14ac:dyDescent="0.2">
      <c r="A36">
        <v>8</v>
      </c>
      <c r="B36" s="25" t="s">
        <v>1761</v>
      </c>
      <c r="C36" s="25"/>
    </row>
    <row r="37" spans="1:6" x14ac:dyDescent="0.2">
      <c r="A37">
        <v>8</v>
      </c>
      <c r="B37" t="s">
        <v>0</v>
      </c>
      <c r="C37" t="s">
        <v>1426</v>
      </c>
      <c r="D37" t="s">
        <v>8</v>
      </c>
      <c r="F37" t="b">
        <f>E37=D37</f>
        <v>0</v>
      </c>
    </row>
    <row r="38" spans="1:6" x14ac:dyDescent="0.2">
      <c r="A38">
        <v>8</v>
      </c>
      <c r="B38" t="s">
        <v>1</v>
      </c>
      <c r="C38" t="s">
        <v>1762</v>
      </c>
      <c r="D38" t="s">
        <v>7</v>
      </c>
      <c r="F38" t="b">
        <f t="shared" ref="F38:F40" si="7">E38=D38</f>
        <v>0</v>
      </c>
    </row>
    <row r="39" spans="1:6" x14ac:dyDescent="0.2">
      <c r="A39">
        <v>8</v>
      </c>
      <c r="B39" t="s">
        <v>2</v>
      </c>
      <c r="C39" t="s">
        <v>1763</v>
      </c>
      <c r="D39" t="s">
        <v>7</v>
      </c>
      <c r="F39" t="b">
        <f t="shared" si="7"/>
        <v>0</v>
      </c>
    </row>
    <row r="40" spans="1:6" x14ac:dyDescent="0.2">
      <c r="A40">
        <v>8</v>
      </c>
      <c r="B40" t="s">
        <v>3</v>
      </c>
      <c r="C40" t="s">
        <v>1764</v>
      </c>
      <c r="D40" t="s">
        <v>7</v>
      </c>
      <c r="F40" t="b">
        <f t="shared" si="7"/>
        <v>0</v>
      </c>
    </row>
    <row r="41" spans="1:6" ht="36.75" customHeight="1" x14ac:dyDescent="0.2">
      <c r="A41">
        <v>9</v>
      </c>
      <c r="B41" s="25" t="s">
        <v>1765</v>
      </c>
      <c r="C41" s="25"/>
    </row>
    <row r="42" spans="1:6" x14ac:dyDescent="0.2">
      <c r="A42">
        <v>9</v>
      </c>
      <c r="B42" t="s">
        <v>0</v>
      </c>
      <c r="C42" t="s">
        <v>1766</v>
      </c>
      <c r="D42" t="s">
        <v>7</v>
      </c>
      <c r="F42" t="b">
        <f>E42=D42</f>
        <v>0</v>
      </c>
    </row>
    <row r="43" spans="1:6" x14ac:dyDescent="0.2">
      <c r="A43">
        <v>9</v>
      </c>
      <c r="B43" t="s">
        <v>1</v>
      </c>
      <c r="C43" t="s">
        <v>1767</v>
      </c>
      <c r="D43" t="s">
        <v>7</v>
      </c>
      <c r="F43" t="b">
        <f t="shared" ref="F43:F45" si="8">E43=D43</f>
        <v>0</v>
      </c>
    </row>
    <row r="44" spans="1:6" x14ac:dyDescent="0.2">
      <c r="A44">
        <v>9</v>
      </c>
      <c r="B44" t="s">
        <v>2</v>
      </c>
      <c r="C44" t="s">
        <v>23</v>
      </c>
      <c r="D44" t="s">
        <v>8</v>
      </c>
      <c r="F44" t="b">
        <f t="shared" si="8"/>
        <v>0</v>
      </c>
    </row>
    <row r="45" spans="1:6" x14ac:dyDescent="0.2">
      <c r="A45">
        <v>9</v>
      </c>
      <c r="B45" t="s">
        <v>3</v>
      </c>
      <c r="C45" t="s">
        <v>1768</v>
      </c>
      <c r="D45" t="s">
        <v>7</v>
      </c>
      <c r="F45" t="b">
        <f t="shared" si="8"/>
        <v>0</v>
      </c>
    </row>
    <row r="46" spans="1:6" ht="30.75" customHeight="1" x14ac:dyDescent="0.2">
      <c r="A46">
        <v>10</v>
      </c>
      <c r="B46" s="25" t="s">
        <v>1769</v>
      </c>
      <c r="C46" s="25"/>
    </row>
    <row r="47" spans="1:6" x14ac:dyDescent="0.2">
      <c r="A47">
        <v>10</v>
      </c>
      <c r="B47" t="s">
        <v>0</v>
      </c>
      <c r="C47" t="s">
        <v>1770</v>
      </c>
      <c r="D47" t="s">
        <v>7</v>
      </c>
      <c r="F47" t="b">
        <f>E47=D47</f>
        <v>0</v>
      </c>
    </row>
    <row r="48" spans="1:6" x14ac:dyDescent="0.2">
      <c r="A48">
        <v>10</v>
      </c>
      <c r="B48" t="s">
        <v>1</v>
      </c>
      <c r="C48" t="s">
        <v>1771</v>
      </c>
      <c r="D48" t="s">
        <v>7</v>
      </c>
      <c r="F48" t="b">
        <f t="shared" ref="F48:F50" si="9">E48=D48</f>
        <v>0</v>
      </c>
    </row>
    <row r="49" spans="1:6" x14ac:dyDescent="0.2">
      <c r="A49">
        <v>10</v>
      </c>
      <c r="B49" t="s">
        <v>2</v>
      </c>
      <c r="C49" t="s">
        <v>1099</v>
      </c>
      <c r="D49" t="s">
        <v>7</v>
      </c>
      <c r="F49" t="b">
        <f t="shared" si="9"/>
        <v>0</v>
      </c>
    </row>
    <row r="50" spans="1:6" x14ac:dyDescent="0.2">
      <c r="A50">
        <v>10</v>
      </c>
      <c r="B50" t="s">
        <v>3</v>
      </c>
      <c r="C50" t="s">
        <v>1680</v>
      </c>
      <c r="D50" t="s">
        <v>8</v>
      </c>
      <c r="F50" t="b">
        <f t="shared" si="9"/>
        <v>0</v>
      </c>
    </row>
    <row r="51" spans="1:6" ht="29.25" customHeight="1" x14ac:dyDescent="0.2">
      <c r="A51">
        <v>11</v>
      </c>
      <c r="B51" s="25" t="s">
        <v>1772</v>
      </c>
      <c r="C51" s="25"/>
    </row>
    <row r="52" spans="1:6" ht="16" x14ac:dyDescent="0.2">
      <c r="A52">
        <v>11</v>
      </c>
      <c r="B52" t="s">
        <v>0</v>
      </c>
      <c r="C52" s="16" t="s">
        <v>1773</v>
      </c>
      <c r="D52" t="s">
        <v>7</v>
      </c>
      <c r="F52" t="b">
        <f>E52=D52</f>
        <v>0</v>
      </c>
    </row>
    <row r="53" spans="1:6" ht="16" x14ac:dyDescent="0.2">
      <c r="A53">
        <v>11</v>
      </c>
      <c r="B53" t="s">
        <v>1</v>
      </c>
      <c r="C53" s="16" t="s">
        <v>1774</v>
      </c>
      <c r="D53" t="s">
        <v>7</v>
      </c>
      <c r="F53" t="b">
        <f t="shared" ref="F53:F55" si="10">E53=D53</f>
        <v>0</v>
      </c>
    </row>
    <row r="54" spans="1:6" ht="16" x14ac:dyDescent="0.2">
      <c r="A54">
        <v>11</v>
      </c>
      <c r="B54" t="s">
        <v>2</v>
      </c>
      <c r="C54" s="16" t="s">
        <v>1775</v>
      </c>
      <c r="D54" t="s">
        <v>8</v>
      </c>
      <c r="F54" t="b">
        <f t="shared" si="10"/>
        <v>0</v>
      </c>
    </row>
    <row r="55" spans="1:6" ht="16" x14ac:dyDescent="0.2">
      <c r="A55">
        <v>11</v>
      </c>
      <c r="B55" t="s">
        <v>3</v>
      </c>
      <c r="C55" s="16" t="s">
        <v>1776</v>
      </c>
      <c r="D55" t="s">
        <v>7</v>
      </c>
      <c r="F55" t="b">
        <f t="shared" si="10"/>
        <v>0</v>
      </c>
    </row>
    <row r="56" spans="1:6" ht="46.5" customHeight="1" x14ac:dyDescent="0.2">
      <c r="A56">
        <v>12</v>
      </c>
      <c r="B56" s="22" t="s">
        <v>1777</v>
      </c>
      <c r="C56" s="22"/>
    </row>
    <row r="57" spans="1:6" ht="16" x14ac:dyDescent="0.2">
      <c r="A57">
        <v>12</v>
      </c>
      <c r="B57" t="s">
        <v>0</v>
      </c>
      <c r="C57" s="16" t="s">
        <v>1778</v>
      </c>
      <c r="D57" t="s">
        <v>7</v>
      </c>
      <c r="F57" t="b">
        <f>E57=D57</f>
        <v>0</v>
      </c>
    </row>
    <row r="58" spans="1:6" ht="16" x14ac:dyDescent="0.2">
      <c r="A58">
        <v>12</v>
      </c>
      <c r="B58" t="s">
        <v>1</v>
      </c>
      <c r="C58" s="16" t="s">
        <v>1779</v>
      </c>
      <c r="D58" t="s">
        <v>7</v>
      </c>
      <c r="F58" t="b">
        <f t="shared" ref="F58:F60" si="11">E58=D58</f>
        <v>0</v>
      </c>
    </row>
    <row r="59" spans="1:6" ht="16" x14ac:dyDescent="0.2">
      <c r="A59">
        <v>12</v>
      </c>
      <c r="B59" t="s">
        <v>2</v>
      </c>
      <c r="C59" s="16" t="s">
        <v>1780</v>
      </c>
      <c r="D59" t="s">
        <v>7</v>
      </c>
      <c r="F59" t="b">
        <f t="shared" si="11"/>
        <v>0</v>
      </c>
    </row>
    <row r="60" spans="1:6" ht="16" x14ac:dyDescent="0.2">
      <c r="A60">
        <v>12</v>
      </c>
      <c r="B60" t="s">
        <v>3</v>
      </c>
      <c r="C60" s="16" t="s">
        <v>1134</v>
      </c>
      <c r="D60" t="s">
        <v>8</v>
      </c>
      <c r="F60" t="b">
        <f t="shared" si="11"/>
        <v>0</v>
      </c>
    </row>
    <row r="61" spans="1:6" ht="32.25" customHeight="1" x14ac:dyDescent="0.2">
      <c r="A61">
        <v>13</v>
      </c>
      <c r="B61" s="22" t="s">
        <v>1781</v>
      </c>
      <c r="C61" s="22"/>
    </row>
    <row r="62" spans="1:6" ht="16" x14ac:dyDescent="0.2">
      <c r="A62">
        <v>13</v>
      </c>
      <c r="B62" t="s">
        <v>0</v>
      </c>
      <c r="C62" s="16" t="s">
        <v>761</v>
      </c>
      <c r="D62" t="s">
        <v>8</v>
      </c>
      <c r="F62" t="b">
        <f>E62=D62</f>
        <v>0</v>
      </c>
    </row>
    <row r="63" spans="1:6" ht="16" x14ac:dyDescent="0.2">
      <c r="A63">
        <v>13</v>
      </c>
      <c r="B63" t="s">
        <v>1</v>
      </c>
      <c r="C63" s="16" t="s">
        <v>1388</v>
      </c>
      <c r="D63" t="s">
        <v>7</v>
      </c>
      <c r="F63" t="b">
        <f t="shared" ref="F63:F65" si="12">E63=D63</f>
        <v>0</v>
      </c>
    </row>
    <row r="64" spans="1:6" ht="16" x14ac:dyDescent="0.2">
      <c r="A64">
        <v>13</v>
      </c>
      <c r="B64" t="s">
        <v>2</v>
      </c>
      <c r="C64" s="16" t="s">
        <v>1782</v>
      </c>
      <c r="D64" t="s">
        <v>7</v>
      </c>
      <c r="F64" t="b">
        <f t="shared" si="12"/>
        <v>0</v>
      </c>
    </row>
    <row r="65" spans="1:6" ht="16" x14ac:dyDescent="0.2">
      <c r="A65">
        <v>13</v>
      </c>
      <c r="B65" t="s">
        <v>3</v>
      </c>
      <c r="C65" s="16" t="s">
        <v>4</v>
      </c>
      <c r="D65" t="s">
        <v>7</v>
      </c>
      <c r="F65" t="b">
        <f t="shared" si="12"/>
        <v>0</v>
      </c>
    </row>
    <row r="66" spans="1:6" ht="30" customHeight="1" x14ac:dyDescent="0.2">
      <c r="A66">
        <v>14</v>
      </c>
      <c r="B66" s="22" t="s">
        <v>1783</v>
      </c>
      <c r="C66" s="22"/>
    </row>
    <row r="67" spans="1:6" ht="32" x14ac:dyDescent="0.2">
      <c r="A67">
        <v>14</v>
      </c>
      <c r="B67" t="s">
        <v>0</v>
      </c>
      <c r="C67" s="16" t="s">
        <v>1784</v>
      </c>
      <c r="D67" t="s">
        <v>8</v>
      </c>
      <c r="F67" t="b">
        <f>E67=D67</f>
        <v>0</v>
      </c>
    </row>
    <row r="68" spans="1:6" ht="32" x14ac:dyDescent="0.2">
      <c r="A68">
        <v>14</v>
      </c>
      <c r="B68" t="s">
        <v>1</v>
      </c>
      <c r="C68" s="16" t="s">
        <v>1785</v>
      </c>
      <c r="D68" t="s">
        <v>7</v>
      </c>
      <c r="F68" t="b">
        <f t="shared" ref="F68:F70" si="13">E68=D68</f>
        <v>0</v>
      </c>
    </row>
    <row r="69" spans="1:6" ht="32" x14ac:dyDescent="0.2">
      <c r="A69">
        <v>14</v>
      </c>
      <c r="B69" t="s">
        <v>2</v>
      </c>
      <c r="C69" s="16" t="s">
        <v>1786</v>
      </c>
      <c r="D69" t="s">
        <v>7</v>
      </c>
      <c r="F69" t="b">
        <f t="shared" si="13"/>
        <v>0</v>
      </c>
    </row>
    <row r="70" spans="1:6" ht="32" x14ac:dyDescent="0.2">
      <c r="A70">
        <v>14</v>
      </c>
      <c r="B70" t="s">
        <v>3</v>
      </c>
      <c r="C70" s="16" t="s">
        <v>1787</v>
      </c>
      <c r="D70" t="s">
        <v>7</v>
      </c>
      <c r="F70" t="b">
        <f t="shared" si="13"/>
        <v>0</v>
      </c>
    </row>
    <row r="71" spans="1:6" ht="75" customHeight="1" x14ac:dyDescent="0.2">
      <c r="A71">
        <v>15</v>
      </c>
      <c r="B71" s="22" t="s">
        <v>1788</v>
      </c>
      <c r="C71" s="22"/>
    </row>
    <row r="72" spans="1:6" ht="16" x14ac:dyDescent="0.2">
      <c r="A72">
        <v>15</v>
      </c>
      <c r="B72" t="s">
        <v>0</v>
      </c>
      <c r="C72" s="16" t="s">
        <v>1388</v>
      </c>
      <c r="D72" t="s">
        <v>7</v>
      </c>
      <c r="F72" t="b">
        <f>E72=D72</f>
        <v>0</v>
      </c>
    </row>
    <row r="73" spans="1:6" ht="16" x14ac:dyDescent="0.2">
      <c r="A73">
        <v>15</v>
      </c>
      <c r="B73" t="s">
        <v>1</v>
      </c>
      <c r="C73" s="16" t="s">
        <v>4</v>
      </c>
      <c r="D73" t="s">
        <v>7</v>
      </c>
      <c r="F73" t="b">
        <f t="shared" ref="F73:F75" si="14">E73=D73</f>
        <v>0</v>
      </c>
    </row>
    <row r="74" spans="1:6" ht="16" x14ac:dyDescent="0.2">
      <c r="A74">
        <v>15</v>
      </c>
      <c r="B74" t="s">
        <v>2</v>
      </c>
      <c r="C74" s="16" t="s">
        <v>1139</v>
      </c>
      <c r="D74" t="s">
        <v>7</v>
      </c>
      <c r="F74" t="b">
        <f t="shared" si="14"/>
        <v>0</v>
      </c>
    </row>
    <row r="75" spans="1:6" ht="16" x14ac:dyDescent="0.2">
      <c r="A75">
        <v>15</v>
      </c>
      <c r="B75" t="s">
        <v>3</v>
      </c>
      <c r="C75" s="16" t="s">
        <v>760</v>
      </c>
      <c r="D75" t="s">
        <v>8</v>
      </c>
      <c r="F75" t="b">
        <f t="shared" si="14"/>
        <v>0</v>
      </c>
    </row>
    <row r="76" spans="1:6" ht="32.25" customHeight="1" x14ac:dyDescent="0.2">
      <c r="A76">
        <v>16</v>
      </c>
      <c r="B76" s="25" t="s">
        <v>1789</v>
      </c>
      <c r="C76" s="25"/>
    </row>
    <row r="77" spans="1:6" ht="16" x14ac:dyDescent="0.2">
      <c r="A77">
        <v>16</v>
      </c>
      <c r="B77" t="s">
        <v>0</v>
      </c>
      <c r="C77" s="16" t="s">
        <v>1790</v>
      </c>
      <c r="D77" t="s">
        <v>7</v>
      </c>
      <c r="F77" t="b">
        <f t="shared" ref="F77:F140" si="15">E77=D77</f>
        <v>0</v>
      </c>
    </row>
    <row r="78" spans="1:6" ht="16" x14ac:dyDescent="0.2">
      <c r="A78">
        <v>16</v>
      </c>
      <c r="B78" t="s">
        <v>1</v>
      </c>
      <c r="C78" s="16" t="s">
        <v>1791</v>
      </c>
      <c r="D78" t="s">
        <v>7</v>
      </c>
      <c r="F78" t="b">
        <f t="shared" si="15"/>
        <v>0</v>
      </c>
    </row>
    <row r="79" spans="1:6" ht="16" x14ac:dyDescent="0.2">
      <c r="A79">
        <v>16</v>
      </c>
      <c r="B79" t="s">
        <v>2</v>
      </c>
      <c r="C79" s="16" t="s">
        <v>43</v>
      </c>
      <c r="D79" t="s">
        <v>7</v>
      </c>
      <c r="F79" t="b">
        <f t="shared" si="15"/>
        <v>0</v>
      </c>
    </row>
    <row r="80" spans="1:6" ht="16" x14ac:dyDescent="0.2">
      <c r="A80">
        <v>16</v>
      </c>
      <c r="B80" t="s">
        <v>3</v>
      </c>
      <c r="C80" s="16" t="s">
        <v>1792</v>
      </c>
      <c r="D80" t="s">
        <v>8</v>
      </c>
      <c r="F80" t="b">
        <f t="shared" si="15"/>
        <v>0</v>
      </c>
    </row>
    <row r="81" spans="1:6" ht="16" x14ac:dyDescent="0.2">
      <c r="A81">
        <v>16</v>
      </c>
      <c r="B81" t="s">
        <v>6</v>
      </c>
      <c r="C81" s="16" t="s">
        <v>1793</v>
      </c>
      <c r="D81" t="s">
        <v>8</v>
      </c>
      <c r="F81" t="b">
        <f t="shared" si="15"/>
        <v>0</v>
      </c>
    </row>
    <row r="82" spans="1:6" ht="16" x14ac:dyDescent="0.2">
      <c r="A82">
        <v>16</v>
      </c>
      <c r="B82" t="s">
        <v>37</v>
      </c>
      <c r="C82" s="16" t="s">
        <v>1794</v>
      </c>
      <c r="D82" t="s">
        <v>8</v>
      </c>
      <c r="F82" t="b">
        <f t="shared" si="15"/>
        <v>0</v>
      </c>
    </row>
    <row r="83" spans="1:6" ht="63" customHeight="1" x14ac:dyDescent="0.2">
      <c r="A83">
        <v>17</v>
      </c>
      <c r="B83" s="25" t="s">
        <v>1795</v>
      </c>
      <c r="C83" s="25"/>
    </row>
    <row r="84" spans="1:6" ht="16" x14ac:dyDescent="0.2">
      <c r="A84">
        <v>17</v>
      </c>
      <c r="B84" t="s">
        <v>0</v>
      </c>
      <c r="C84" s="16" t="s">
        <v>1796</v>
      </c>
      <c r="D84" t="s">
        <v>7</v>
      </c>
      <c r="F84" t="b">
        <f t="shared" si="15"/>
        <v>0</v>
      </c>
    </row>
    <row r="85" spans="1:6" ht="16" x14ac:dyDescent="0.2">
      <c r="A85">
        <v>17</v>
      </c>
      <c r="B85" t="s">
        <v>1</v>
      </c>
      <c r="C85" s="16" t="s">
        <v>28</v>
      </c>
      <c r="D85" t="s">
        <v>7</v>
      </c>
      <c r="F85" t="b">
        <f t="shared" si="15"/>
        <v>0</v>
      </c>
    </row>
    <row r="86" spans="1:6" ht="16" x14ac:dyDescent="0.2">
      <c r="A86">
        <v>17</v>
      </c>
      <c r="B86" t="s">
        <v>2</v>
      </c>
      <c r="C86" s="16" t="s">
        <v>1797</v>
      </c>
      <c r="D86" t="s">
        <v>7</v>
      </c>
      <c r="F86" t="b">
        <f t="shared" si="15"/>
        <v>0</v>
      </c>
    </row>
    <row r="87" spans="1:6" ht="16" x14ac:dyDescent="0.2">
      <c r="A87">
        <v>17</v>
      </c>
      <c r="B87" t="s">
        <v>3</v>
      </c>
      <c r="C87" s="16" t="s">
        <v>1798</v>
      </c>
      <c r="D87" t="s">
        <v>8</v>
      </c>
      <c r="F87" t="b">
        <f t="shared" si="15"/>
        <v>0</v>
      </c>
    </row>
    <row r="88" spans="1:6" x14ac:dyDescent="0.2">
      <c r="A88">
        <v>18</v>
      </c>
      <c r="B88" s="25" t="s">
        <v>1799</v>
      </c>
      <c r="C88" s="25"/>
    </row>
    <row r="89" spans="1:6" ht="48" x14ac:dyDescent="0.2">
      <c r="A89">
        <v>18</v>
      </c>
      <c r="B89" t="s">
        <v>0</v>
      </c>
      <c r="C89" s="16" t="s">
        <v>1800</v>
      </c>
      <c r="D89" t="s">
        <v>7</v>
      </c>
      <c r="F89" t="b">
        <f t="shared" si="15"/>
        <v>0</v>
      </c>
    </row>
    <row r="90" spans="1:6" ht="32" x14ac:dyDescent="0.2">
      <c r="A90">
        <v>18</v>
      </c>
      <c r="B90" t="s">
        <v>1</v>
      </c>
      <c r="C90" s="16" t="s">
        <v>1801</v>
      </c>
      <c r="D90" t="s">
        <v>7</v>
      </c>
      <c r="F90" t="b">
        <f t="shared" si="15"/>
        <v>0</v>
      </c>
    </row>
    <row r="91" spans="1:6" ht="48" x14ac:dyDescent="0.2">
      <c r="A91">
        <v>18</v>
      </c>
      <c r="B91" t="s">
        <v>2</v>
      </c>
      <c r="C91" s="16" t="s">
        <v>1802</v>
      </c>
      <c r="D91" t="s">
        <v>7</v>
      </c>
      <c r="F91" t="b">
        <f t="shared" si="15"/>
        <v>0</v>
      </c>
    </row>
    <row r="92" spans="1:6" ht="32" x14ac:dyDescent="0.2">
      <c r="A92">
        <v>18</v>
      </c>
      <c r="B92" t="s">
        <v>3</v>
      </c>
      <c r="C92" s="16" t="s">
        <v>1803</v>
      </c>
      <c r="D92" t="s">
        <v>8</v>
      </c>
      <c r="F92" t="b">
        <f t="shared" si="15"/>
        <v>0</v>
      </c>
    </row>
    <row r="93" spans="1:6" ht="45.75" customHeight="1" x14ac:dyDescent="0.2">
      <c r="A93">
        <v>19</v>
      </c>
      <c r="B93" s="22" t="s">
        <v>1804</v>
      </c>
      <c r="C93" s="22"/>
    </row>
    <row r="94" spans="1:6" ht="16" x14ac:dyDescent="0.2">
      <c r="A94">
        <v>19</v>
      </c>
      <c r="B94" t="s">
        <v>0</v>
      </c>
      <c r="C94" s="16" t="s">
        <v>760</v>
      </c>
      <c r="D94" t="s">
        <v>7</v>
      </c>
      <c r="F94" t="b">
        <f t="shared" si="15"/>
        <v>0</v>
      </c>
    </row>
    <row r="95" spans="1:6" ht="16" x14ac:dyDescent="0.2">
      <c r="A95">
        <v>19</v>
      </c>
      <c r="B95" t="s">
        <v>1</v>
      </c>
      <c r="C95" s="16" t="s">
        <v>1805</v>
      </c>
      <c r="D95" t="s">
        <v>8</v>
      </c>
      <c r="F95" t="b">
        <f t="shared" si="15"/>
        <v>0</v>
      </c>
    </row>
    <row r="96" spans="1:6" ht="16" x14ac:dyDescent="0.2">
      <c r="A96">
        <v>19</v>
      </c>
      <c r="B96" t="s">
        <v>2</v>
      </c>
      <c r="C96" s="16" t="s">
        <v>1806</v>
      </c>
      <c r="D96" t="s">
        <v>7</v>
      </c>
      <c r="F96" t="b">
        <f t="shared" si="15"/>
        <v>0</v>
      </c>
    </row>
    <row r="97" spans="1:6" ht="16" x14ac:dyDescent="0.2">
      <c r="A97">
        <v>19</v>
      </c>
      <c r="B97" t="s">
        <v>3</v>
      </c>
      <c r="C97" s="16" t="s">
        <v>1807</v>
      </c>
      <c r="D97" t="s">
        <v>7</v>
      </c>
      <c r="F97" t="b">
        <f t="shared" si="15"/>
        <v>0</v>
      </c>
    </row>
    <row r="98" spans="1:6" ht="63" customHeight="1" x14ac:dyDescent="0.2">
      <c r="A98">
        <v>20</v>
      </c>
      <c r="B98" s="22" t="s">
        <v>1808</v>
      </c>
      <c r="C98" s="22"/>
    </row>
    <row r="99" spans="1:6" ht="32" x14ac:dyDescent="0.2">
      <c r="A99">
        <v>20</v>
      </c>
      <c r="B99" t="s">
        <v>0</v>
      </c>
      <c r="C99" s="16" t="s">
        <v>1809</v>
      </c>
      <c r="D99" t="s">
        <v>7</v>
      </c>
      <c r="F99" t="b">
        <f t="shared" si="15"/>
        <v>0</v>
      </c>
    </row>
    <row r="100" spans="1:6" ht="32" x14ac:dyDescent="0.2">
      <c r="A100">
        <v>20</v>
      </c>
      <c r="B100" t="s">
        <v>1</v>
      </c>
      <c r="C100" s="16" t="s">
        <v>1810</v>
      </c>
      <c r="D100" t="s">
        <v>8</v>
      </c>
      <c r="F100" t="b">
        <f t="shared" si="15"/>
        <v>0</v>
      </c>
    </row>
    <row r="101" spans="1:6" ht="32" x14ac:dyDescent="0.2">
      <c r="A101">
        <v>20</v>
      </c>
      <c r="B101" t="s">
        <v>2</v>
      </c>
      <c r="C101" s="16" t="s">
        <v>1811</v>
      </c>
      <c r="D101" t="s">
        <v>7</v>
      </c>
      <c r="F101" t="b">
        <f t="shared" si="15"/>
        <v>0</v>
      </c>
    </row>
    <row r="102" spans="1:6" ht="16" x14ac:dyDescent="0.2">
      <c r="A102">
        <v>20</v>
      </c>
      <c r="B102" t="s">
        <v>3</v>
      </c>
      <c r="C102" s="16" t="s">
        <v>1812</v>
      </c>
      <c r="D102" t="s">
        <v>7</v>
      </c>
      <c r="F102" t="b">
        <f t="shared" si="15"/>
        <v>0</v>
      </c>
    </row>
    <row r="103" spans="1:6" x14ac:dyDescent="0.2">
      <c r="A103">
        <v>21</v>
      </c>
      <c r="B103" s="22" t="s">
        <v>1813</v>
      </c>
      <c r="C103" s="22"/>
    </row>
    <row r="104" spans="1:6" ht="16" x14ac:dyDescent="0.2">
      <c r="A104">
        <v>21</v>
      </c>
      <c r="B104" t="s">
        <v>0</v>
      </c>
      <c r="C104" s="16" t="s">
        <v>1814</v>
      </c>
      <c r="D104" t="s">
        <v>7</v>
      </c>
      <c r="F104" t="b">
        <f t="shared" si="15"/>
        <v>0</v>
      </c>
    </row>
    <row r="105" spans="1:6" ht="16" x14ac:dyDescent="0.2">
      <c r="A105">
        <v>21</v>
      </c>
      <c r="B105" t="s">
        <v>1</v>
      </c>
      <c r="C105" s="16" t="s">
        <v>540</v>
      </c>
      <c r="D105" t="s">
        <v>8</v>
      </c>
      <c r="F105" t="b">
        <f t="shared" si="15"/>
        <v>0</v>
      </c>
    </row>
    <row r="106" spans="1:6" ht="16" x14ac:dyDescent="0.2">
      <c r="A106">
        <v>21</v>
      </c>
      <c r="B106" t="s">
        <v>2</v>
      </c>
      <c r="C106" s="16" t="s">
        <v>1815</v>
      </c>
      <c r="D106" t="s">
        <v>7</v>
      </c>
      <c r="F106" t="b">
        <f t="shared" si="15"/>
        <v>0</v>
      </c>
    </row>
    <row r="107" spans="1:6" ht="16" x14ac:dyDescent="0.2">
      <c r="A107">
        <v>21</v>
      </c>
      <c r="B107" t="s">
        <v>3</v>
      </c>
      <c r="C107" s="16" t="s">
        <v>28</v>
      </c>
      <c r="D107" t="s">
        <v>7</v>
      </c>
      <c r="F107" t="b">
        <f t="shared" si="15"/>
        <v>0</v>
      </c>
    </row>
    <row r="108" spans="1:6" ht="29.25" customHeight="1" x14ac:dyDescent="0.2">
      <c r="A108">
        <v>22</v>
      </c>
      <c r="B108" s="22" t="s">
        <v>1816</v>
      </c>
      <c r="C108" s="22"/>
    </row>
    <row r="109" spans="1:6" ht="16" x14ac:dyDescent="0.2">
      <c r="A109">
        <v>22</v>
      </c>
      <c r="B109" t="s">
        <v>0</v>
      </c>
      <c r="C109" s="16" t="s">
        <v>1817</v>
      </c>
      <c r="D109" t="s">
        <v>7</v>
      </c>
      <c r="F109" t="b">
        <f t="shared" si="15"/>
        <v>0</v>
      </c>
    </row>
    <row r="110" spans="1:6" ht="32" x14ac:dyDescent="0.2">
      <c r="A110">
        <v>22</v>
      </c>
      <c r="B110" t="s">
        <v>1</v>
      </c>
      <c r="C110" s="16" t="s">
        <v>1818</v>
      </c>
      <c r="D110" t="s">
        <v>8</v>
      </c>
      <c r="F110" t="b">
        <f t="shared" si="15"/>
        <v>0</v>
      </c>
    </row>
    <row r="111" spans="1:6" ht="32" x14ac:dyDescent="0.2">
      <c r="A111">
        <v>22</v>
      </c>
      <c r="B111" t="s">
        <v>2</v>
      </c>
      <c r="C111" s="16" t="s">
        <v>1819</v>
      </c>
      <c r="D111" t="s">
        <v>8</v>
      </c>
      <c r="F111" t="b">
        <f t="shared" si="15"/>
        <v>0</v>
      </c>
    </row>
    <row r="112" spans="1:6" ht="32" x14ac:dyDescent="0.2">
      <c r="A112">
        <v>22</v>
      </c>
      <c r="B112" t="s">
        <v>3</v>
      </c>
      <c r="C112" s="16" t="s">
        <v>1820</v>
      </c>
      <c r="D112" t="s">
        <v>8</v>
      </c>
      <c r="F112" t="b">
        <f t="shared" si="15"/>
        <v>0</v>
      </c>
    </row>
    <row r="113" spans="1:6" ht="32.25" customHeight="1" x14ac:dyDescent="0.2">
      <c r="A113">
        <v>23</v>
      </c>
      <c r="B113" s="22" t="s">
        <v>1821</v>
      </c>
      <c r="C113" s="22"/>
    </row>
    <row r="114" spans="1:6" ht="16" x14ac:dyDescent="0.2">
      <c r="A114">
        <v>23</v>
      </c>
      <c r="B114" t="s">
        <v>0</v>
      </c>
      <c r="C114" s="16" t="s">
        <v>1822</v>
      </c>
      <c r="D114" t="s">
        <v>7</v>
      </c>
      <c r="F114" t="b">
        <f t="shared" si="15"/>
        <v>0</v>
      </c>
    </row>
    <row r="115" spans="1:6" ht="16" x14ac:dyDescent="0.2">
      <c r="A115">
        <v>23</v>
      </c>
      <c r="B115" t="s">
        <v>1</v>
      </c>
      <c r="C115" s="16" t="s">
        <v>1823</v>
      </c>
      <c r="D115" t="s">
        <v>7</v>
      </c>
      <c r="F115" t="b">
        <f t="shared" si="15"/>
        <v>0</v>
      </c>
    </row>
    <row r="116" spans="1:6" ht="16" x14ac:dyDescent="0.2">
      <c r="A116">
        <v>23</v>
      </c>
      <c r="B116" t="s">
        <v>2</v>
      </c>
      <c r="C116" s="16" t="s">
        <v>1596</v>
      </c>
      <c r="D116" t="s">
        <v>8</v>
      </c>
      <c r="F116" t="b">
        <f t="shared" si="15"/>
        <v>0</v>
      </c>
    </row>
    <row r="117" spans="1:6" ht="16" x14ac:dyDescent="0.2">
      <c r="A117">
        <v>23</v>
      </c>
      <c r="B117" t="s">
        <v>3</v>
      </c>
      <c r="C117" s="16" t="s">
        <v>1824</v>
      </c>
      <c r="D117" t="s">
        <v>7</v>
      </c>
      <c r="F117" t="b">
        <f t="shared" si="15"/>
        <v>0</v>
      </c>
    </row>
    <row r="118" spans="1:6" x14ac:dyDescent="0.2">
      <c r="A118">
        <v>24</v>
      </c>
      <c r="B118" s="22" t="s">
        <v>1825</v>
      </c>
      <c r="C118" s="22"/>
    </row>
    <row r="119" spans="1:6" ht="16" x14ac:dyDescent="0.2">
      <c r="A119">
        <v>24</v>
      </c>
      <c r="B119" t="s">
        <v>0</v>
      </c>
      <c r="C119" s="16" t="s">
        <v>1826</v>
      </c>
      <c r="D119" t="s">
        <v>7</v>
      </c>
      <c r="F119" t="b">
        <f t="shared" si="15"/>
        <v>0</v>
      </c>
    </row>
    <row r="120" spans="1:6" ht="32" x14ac:dyDescent="0.2">
      <c r="A120">
        <v>24</v>
      </c>
      <c r="B120" t="s">
        <v>1</v>
      </c>
      <c r="C120" s="16" t="s">
        <v>1827</v>
      </c>
      <c r="D120" t="s">
        <v>8</v>
      </c>
      <c r="F120" t="b">
        <f t="shared" si="15"/>
        <v>0</v>
      </c>
    </row>
    <row r="121" spans="1:6" ht="32" x14ac:dyDescent="0.2">
      <c r="A121">
        <v>24</v>
      </c>
      <c r="B121" t="s">
        <v>2</v>
      </c>
      <c r="C121" s="16" t="s">
        <v>1828</v>
      </c>
      <c r="D121" t="s">
        <v>7</v>
      </c>
      <c r="F121" t="b">
        <f t="shared" si="15"/>
        <v>0</v>
      </c>
    </row>
    <row r="122" spans="1:6" ht="32" x14ac:dyDescent="0.2">
      <c r="A122">
        <v>24</v>
      </c>
      <c r="B122" t="s">
        <v>3</v>
      </c>
      <c r="C122" s="16" t="s">
        <v>1829</v>
      </c>
      <c r="D122" t="s">
        <v>7</v>
      </c>
      <c r="F122" t="b">
        <f t="shared" si="15"/>
        <v>0</v>
      </c>
    </row>
    <row r="123" spans="1:6" ht="45" customHeight="1" x14ac:dyDescent="0.2">
      <c r="A123">
        <v>25</v>
      </c>
      <c r="B123" s="22" t="s">
        <v>1830</v>
      </c>
      <c r="C123" s="22"/>
    </row>
    <row r="124" spans="1:6" ht="32" x14ac:dyDescent="0.2">
      <c r="A124">
        <v>25</v>
      </c>
      <c r="B124" t="s">
        <v>0</v>
      </c>
      <c r="C124" s="16" t="s">
        <v>1831</v>
      </c>
      <c r="D124" t="s">
        <v>8</v>
      </c>
      <c r="F124" t="b">
        <f t="shared" si="15"/>
        <v>0</v>
      </c>
    </row>
    <row r="125" spans="1:6" ht="16" x14ac:dyDescent="0.2">
      <c r="A125">
        <v>25</v>
      </c>
      <c r="B125" t="s">
        <v>1</v>
      </c>
      <c r="C125" s="16" t="s">
        <v>1832</v>
      </c>
      <c r="D125" t="s">
        <v>7</v>
      </c>
      <c r="F125" t="b">
        <f t="shared" si="15"/>
        <v>0</v>
      </c>
    </row>
    <row r="126" spans="1:6" ht="48" x14ac:dyDescent="0.2">
      <c r="A126">
        <v>25</v>
      </c>
      <c r="B126" t="s">
        <v>2</v>
      </c>
      <c r="C126" s="16" t="s">
        <v>1833</v>
      </c>
      <c r="D126" t="s">
        <v>7</v>
      </c>
      <c r="F126" t="b">
        <f t="shared" si="15"/>
        <v>0</v>
      </c>
    </row>
    <row r="127" spans="1:6" ht="16" x14ac:dyDescent="0.2">
      <c r="A127">
        <v>25</v>
      </c>
      <c r="B127" t="s">
        <v>3</v>
      </c>
      <c r="C127" s="16" t="s">
        <v>1834</v>
      </c>
      <c r="D127" t="s">
        <v>7</v>
      </c>
      <c r="F127" t="b">
        <f t="shared" si="15"/>
        <v>0</v>
      </c>
    </row>
    <row r="128" spans="1:6" ht="30.75" customHeight="1" x14ac:dyDescent="0.2">
      <c r="A128">
        <v>26</v>
      </c>
      <c r="B128" s="22" t="s">
        <v>1835</v>
      </c>
      <c r="C128" s="22"/>
    </row>
    <row r="129" spans="1:6" ht="32" x14ac:dyDescent="0.2">
      <c r="A129">
        <v>26</v>
      </c>
      <c r="B129" t="s">
        <v>0</v>
      </c>
      <c r="C129" s="16" t="s">
        <v>1836</v>
      </c>
      <c r="D129" t="s">
        <v>7</v>
      </c>
      <c r="F129" t="b">
        <f t="shared" si="15"/>
        <v>0</v>
      </c>
    </row>
    <row r="130" spans="1:6" ht="32" x14ac:dyDescent="0.2">
      <c r="A130">
        <v>26</v>
      </c>
      <c r="B130" t="s">
        <v>1</v>
      </c>
      <c r="C130" s="16" t="s">
        <v>1837</v>
      </c>
      <c r="D130" t="s">
        <v>7</v>
      </c>
      <c r="F130" t="b">
        <f t="shared" si="15"/>
        <v>0</v>
      </c>
    </row>
    <row r="131" spans="1:6" ht="32" x14ac:dyDescent="0.2">
      <c r="A131">
        <v>26</v>
      </c>
      <c r="B131" t="s">
        <v>2</v>
      </c>
      <c r="C131" s="16" t="s">
        <v>1838</v>
      </c>
      <c r="D131" t="s">
        <v>8</v>
      </c>
      <c r="F131" t="b">
        <f t="shared" si="15"/>
        <v>0</v>
      </c>
    </row>
    <row r="132" spans="1:6" ht="32" x14ac:dyDescent="0.2">
      <c r="A132">
        <v>26</v>
      </c>
      <c r="B132" t="s">
        <v>3</v>
      </c>
      <c r="C132" s="16" t="s">
        <v>1839</v>
      </c>
      <c r="D132" t="s">
        <v>7</v>
      </c>
      <c r="F132" t="b">
        <f t="shared" si="15"/>
        <v>0</v>
      </c>
    </row>
    <row r="133" spans="1:6" ht="45" customHeight="1" x14ac:dyDescent="0.2">
      <c r="A133">
        <v>27</v>
      </c>
      <c r="B133" s="22" t="s">
        <v>1840</v>
      </c>
      <c r="C133" s="22"/>
    </row>
    <row r="134" spans="1:6" ht="16" x14ac:dyDescent="0.2">
      <c r="A134">
        <v>27</v>
      </c>
      <c r="B134" t="s">
        <v>0</v>
      </c>
      <c r="C134" s="16" t="s">
        <v>1119</v>
      </c>
      <c r="D134" t="s">
        <v>7</v>
      </c>
      <c r="F134" t="b">
        <f t="shared" si="15"/>
        <v>0</v>
      </c>
    </row>
    <row r="135" spans="1:6" ht="16" x14ac:dyDescent="0.2">
      <c r="A135">
        <v>27</v>
      </c>
      <c r="B135" t="s">
        <v>1</v>
      </c>
      <c r="C135" s="16" t="s">
        <v>4</v>
      </c>
      <c r="D135" t="s">
        <v>8</v>
      </c>
      <c r="F135" t="b">
        <f t="shared" si="15"/>
        <v>0</v>
      </c>
    </row>
    <row r="136" spans="1:6" ht="16" x14ac:dyDescent="0.2">
      <c r="A136">
        <v>27</v>
      </c>
      <c r="B136" t="s">
        <v>2</v>
      </c>
      <c r="C136" s="16" t="s">
        <v>1139</v>
      </c>
      <c r="D136" t="s">
        <v>7</v>
      </c>
      <c r="F136" t="b">
        <f t="shared" si="15"/>
        <v>0</v>
      </c>
    </row>
    <row r="137" spans="1:6" ht="16" x14ac:dyDescent="0.2">
      <c r="A137">
        <v>27</v>
      </c>
      <c r="B137" t="s">
        <v>3</v>
      </c>
      <c r="C137" s="16" t="s">
        <v>1196</v>
      </c>
      <c r="D137" t="s">
        <v>7</v>
      </c>
      <c r="F137" t="b">
        <f t="shared" si="15"/>
        <v>0</v>
      </c>
    </row>
    <row r="138" spans="1:6" ht="49.5" customHeight="1" x14ac:dyDescent="0.2">
      <c r="A138">
        <v>28</v>
      </c>
      <c r="B138" s="22" t="s">
        <v>1841</v>
      </c>
      <c r="C138" s="22"/>
    </row>
    <row r="139" spans="1:6" ht="16" x14ac:dyDescent="0.2">
      <c r="A139">
        <v>28</v>
      </c>
      <c r="B139" t="s">
        <v>0</v>
      </c>
      <c r="C139" s="16" t="s">
        <v>1842</v>
      </c>
      <c r="D139" t="s">
        <v>7</v>
      </c>
      <c r="F139" t="b">
        <f t="shared" si="15"/>
        <v>0</v>
      </c>
    </row>
    <row r="140" spans="1:6" ht="16" x14ac:dyDescent="0.2">
      <c r="A140">
        <v>28</v>
      </c>
      <c r="B140" t="s">
        <v>1</v>
      </c>
      <c r="C140" s="16" t="s">
        <v>1843</v>
      </c>
      <c r="D140" t="s">
        <v>8</v>
      </c>
      <c r="F140" t="b">
        <f t="shared" si="15"/>
        <v>0</v>
      </c>
    </row>
    <row r="141" spans="1:6" ht="16" x14ac:dyDescent="0.2">
      <c r="A141">
        <v>28</v>
      </c>
      <c r="B141" t="s">
        <v>2</v>
      </c>
      <c r="C141" s="16" t="s">
        <v>1844</v>
      </c>
      <c r="D141" t="s">
        <v>7</v>
      </c>
      <c r="F141" t="b">
        <f t="shared" ref="F141:F142" si="16">E141=D141</f>
        <v>0</v>
      </c>
    </row>
    <row r="142" spans="1:6" ht="16" x14ac:dyDescent="0.2">
      <c r="A142">
        <v>28</v>
      </c>
      <c r="B142" t="s">
        <v>3</v>
      </c>
      <c r="C142" s="16" t="s">
        <v>1845</v>
      </c>
      <c r="D142" t="s">
        <v>7</v>
      </c>
      <c r="F142" t="b">
        <f t="shared" si="16"/>
        <v>0</v>
      </c>
    </row>
    <row r="143" spans="1:6" ht="48" customHeight="1" x14ac:dyDescent="0.2">
      <c r="A143">
        <v>29</v>
      </c>
      <c r="B143" s="22" t="s">
        <v>1846</v>
      </c>
      <c r="C143" s="22"/>
    </row>
    <row r="144" spans="1:6" ht="16" x14ac:dyDescent="0.2">
      <c r="A144">
        <v>29</v>
      </c>
      <c r="B144" t="s">
        <v>0</v>
      </c>
      <c r="C144" s="16" t="s">
        <v>1134</v>
      </c>
      <c r="D144" t="s">
        <v>8</v>
      </c>
      <c r="F144" t="b">
        <f t="shared" ref="F144:F147" si="17">E144=D144</f>
        <v>0</v>
      </c>
    </row>
    <row r="145" spans="1:6" ht="16" x14ac:dyDescent="0.2">
      <c r="A145">
        <v>29</v>
      </c>
      <c r="B145" t="s">
        <v>1</v>
      </c>
      <c r="C145" s="16" t="s">
        <v>1847</v>
      </c>
      <c r="D145" t="s">
        <v>7</v>
      </c>
      <c r="F145" t="b">
        <f t="shared" si="17"/>
        <v>0</v>
      </c>
    </row>
    <row r="146" spans="1:6" ht="32" x14ac:dyDescent="0.2">
      <c r="A146">
        <v>29</v>
      </c>
      <c r="B146" t="s">
        <v>2</v>
      </c>
      <c r="C146" s="16" t="s">
        <v>1848</v>
      </c>
      <c r="D146" t="s">
        <v>7</v>
      </c>
      <c r="F146" t="b">
        <f t="shared" si="17"/>
        <v>0</v>
      </c>
    </row>
    <row r="147" spans="1:6" ht="16" x14ac:dyDescent="0.2">
      <c r="A147">
        <v>29</v>
      </c>
      <c r="B147" t="s">
        <v>3</v>
      </c>
      <c r="C147" s="16" t="s">
        <v>1849</v>
      </c>
      <c r="D147" t="s">
        <v>7</v>
      </c>
      <c r="F147" t="b">
        <f t="shared" si="17"/>
        <v>0</v>
      </c>
    </row>
  </sheetData>
  <mergeCells count="29">
    <mergeCell ref="B123:C123"/>
    <mergeCell ref="B128:C128"/>
    <mergeCell ref="B133:C133"/>
    <mergeCell ref="B138:C138"/>
    <mergeCell ref="B143:C143"/>
    <mergeCell ref="B118:C118"/>
    <mergeCell ref="B61:C61"/>
    <mergeCell ref="B66:C66"/>
    <mergeCell ref="B71:C71"/>
    <mergeCell ref="B76:C76"/>
    <mergeCell ref="B83:C83"/>
    <mergeCell ref="B88:C88"/>
    <mergeCell ref="B93:C93"/>
    <mergeCell ref="B98:C98"/>
    <mergeCell ref="B103:C103"/>
    <mergeCell ref="B108:C108"/>
    <mergeCell ref="B113:C113"/>
    <mergeCell ref="B56:C56"/>
    <mergeCell ref="B1:C1"/>
    <mergeCell ref="B6:C6"/>
    <mergeCell ref="B11:C11"/>
    <mergeCell ref="B16:C16"/>
    <mergeCell ref="B21:C21"/>
    <mergeCell ref="B26:C26"/>
    <mergeCell ref="B31:C31"/>
    <mergeCell ref="B36:C36"/>
    <mergeCell ref="B41:C41"/>
    <mergeCell ref="B46:C46"/>
    <mergeCell ref="B51:C51"/>
  </mergeCells>
  <conditionalFormatting sqref="F2:F5">
    <cfRule type="cellIs" dxfId="57" priority="57" operator="equal">
      <formula>FALSE</formula>
    </cfRule>
    <cfRule type="cellIs" dxfId="56" priority="58" operator="equal">
      <formula>TRUE</formula>
    </cfRule>
  </conditionalFormatting>
  <conditionalFormatting sqref="F7:F10">
    <cfRule type="cellIs" dxfId="55" priority="55" operator="equal">
      <formula>FALSE</formula>
    </cfRule>
    <cfRule type="cellIs" dxfId="54" priority="56" operator="equal">
      <formula>TRUE</formula>
    </cfRule>
  </conditionalFormatting>
  <conditionalFormatting sqref="F12:F15">
    <cfRule type="cellIs" dxfId="53" priority="53" operator="equal">
      <formula>FALSE</formula>
    </cfRule>
    <cfRule type="cellIs" dxfId="52" priority="54" operator="equal">
      <formula>TRUE</formula>
    </cfRule>
  </conditionalFormatting>
  <conditionalFormatting sqref="F17:F20">
    <cfRule type="cellIs" dxfId="51" priority="51" operator="equal">
      <formula>FALSE</formula>
    </cfRule>
    <cfRule type="cellIs" dxfId="50" priority="52" operator="equal">
      <formula>TRUE</formula>
    </cfRule>
  </conditionalFormatting>
  <conditionalFormatting sqref="F22:F25">
    <cfRule type="cellIs" dxfId="49" priority="49" operator="equal">
      <formula>FALSE</formula>
    </cfRule>
    <cfRule type="cellIs" dxfId="48" priority="50" operator="equal">
      <formula>TRUE</formula>
    </cfRule>
  </conditionalFormatting>
  <conditionalFormatting sqref="F27:F30">
    <cfRule type="cellIs" dxfId="47" priority="47" operator="equal">
      <formula>FALSE</formula>
    </cfRule>
    <cfRule type="cellIs" dxfId="46" priority="48" operator="equal">
      <formula>TRUE</formula>
    </cfRule>
  </conditionalFormatting>
  <conditionalFormatting sqref="F32:F35">
    <cfRule type="cellIs" dxfId="45" priority="45" operator="equal">
      <formula>FALSE</formula>
    </cfRule>
    <cfRule type="cellIs" dxfId="44" priority="46" operator="equal">
      <formula>TRUE</formula>
    </cfRule>
  </conditionalFormatting>
  <conditionalFormatting sqref="F37:F40">
    <cfRule type="cellIs" dxfId="43" priority="43" operator="equal">
      <formula>FALSE</formula>
    </cfRule>
    <cfRule type="cellIs" dxfId="42" priority="44" operator="equal">
      <formula>TRUE</formula>
    </cfRule>
  </conditionalFormatting>
  <conditionalFormatting sqref="F42:F45">
    <cfRule type="cellIs" dxfId="41" priority="41" operator="equal">
      <formula>FALSE</formula>
    </cfRule>
    <cfRule type="cellIs" dxfId="40" priority="42" operator="equal">
      <formula>TRUE</formula>
    </cfRule>
  </conditionalFormatting>
  <conditionalFormatting sqref="F47:F50">
    <cfRule type="cellIs" dxfId="39" priority="39" operator="equal">
      <formula>FALSE</formula>
    </cfRule>
    <cfRule type="cellIs" dxfId="38" priority="40" operator="equal">
      <formula>TRUE</formula>
    </cfRule>
  </conditionalFormatting>
  <conditionalFormatting sqref="F52:F55">
    <cfRule type="cellIs" dxfId="37" priority="37" operator="equal">
      <formula>FALSE</formula>
    </cfRule>
    <cfRule type="cellIs" dxfId="36" priority="38" operator="equal">
      <formula>TRUE</formula>
    </cfRule>
  </conditionalFormatting>
  <conditionalFormatting sqref="F57:F60">
    <cfRule type="cellIs" dxfId="35" priority="35" operator="equal">
      <formula>FALSE</formula>
    </cfRule>
    <cfRule type="cellIs" dxfId="34" priority="36" operator="equal">
      <formula>TRUE</formula>
    </cfRule>
  </conditionalFormatting>
  <conditionalFormatting sqref="F62:F65">
    <cfRule type="cellIs" dxfId="33" priority="33" operator="equal">
      <formula>FALSE</formula>
    </cfRule>
    <cfRule type="cellIs" dxfId="32" priority="34" operator="equal">
      <formula>TRUE</formula>
    </cfRule>
  </conditionalFormatting>
  <conditionalFormatting sqref="F67:F70">
    <cfRule type="cellIs" dxfId="31" priority="31" operator="equal">
      <formula>FALSE</formula>
    </cfRule>
    <cfRule type="cellIs" dxfId="30" priority="32" operator="equal">
      <formula>TRUE</formula>
    </cfRule>
  </conditionalFormatting>
  <conditionalFormatting sqref="F72:F75">
    <cfRule type="cellIs" dxfId="29" priority="29" operator="equal">
      <formula>FALSE</formula>
    </cfRule>
    <cfRule type="cellIs" dxfId="28" priority="30" operator="equal">
      <formula>TRUE</formula>
    </cfRule>
  </conditionalFormatting>
  <conditionalFormatting sqref="F77:F82">
    <cfRule type="cellIs" dxfId="27" priority="27" operator="equal">
      <formula>FALSE</formula>
    </cfRule>
    <cfRule type="cellIs" dxfId="26" priority="28" operator="equal">
      <formula>TRUE</formula>
    </cfRule>
  </conditionalFormatting>
  <conditionalFormatting sqref="F84:F87">
    <cfRule type="cellIs" dxfId="25" priority="25" operator="equal">
      <formula>FALSE</formula>
    </cfRule>
    <cfRule type="cellIs" dxfId="24" priority="26" operator="equal">
      <formula>TRUE</formula>
    </cfRule>
  </conditionalFormatting>
  <conditionalFormatting sqref="F89:F92">
    <cfRule type="cellIs" dxfId="23" priority="23" operator="equal">
      <formula>FALSE</formula>
    </cfRule>
    <cfRule type="cellIs" dxfId="22" priority="24" operator="equal">
      <formula>TRUE</formula>
    </cfRule>
  </conditionalFormatting>
  <conditionalFormatting sqref="F94:F97">
    <cfRule type="cellIs" dxfId="21" priority="21" operator="equal">
      <formula>FALSE</formula>
    </cfRule>
    <cfRule type="cellIs" dxfId="20" priority="22" operator="equal">
      <formula>TRUE</formula>
    </cfRule>
  </conditionalFormatting>
  <conditionalFormatting sqref="F99:F102">
    <cfRule type="cellIs" dxfId="19" priority="19" operator="equal">
      <formula>FALSE</formula>
    </cfRule>
    <cfRule type="cellIs" dxfId="18" priority="20" operator="equal">
      <formula>TRUE</formula>
    </cfRule>
  </conditionalFormatting>
  <conditionalFormatting sqref="F104:F107">
    <cfRule type="cellIs" dxfId="17" priority="17" operator="equal">
      <formula>FALSE</formula>
    </cfRule>
    <cfRule type="cellIs" dxfId="16" priority="18" operator="equal">
      <formula>TRUE</formula>
    </cfRule>
  </conditionalFormatting>
  <conditionalFormatting sqref="F109:F112">
    <cfRule type="cellIs" dxfId="15" priority="15" operator="equal">
      <formula>FALSE</formula>
    </cfRule>
    <cfRule type="cellIs" dxfId="14" priority="16" operator="equal">
      <formula>TRUE</formula>
    </cfRule>
  </conditionalFormatting>
  <conditionalFormatting sqref="F114:F117">
    <cfRule type="cellIs" dxfId="13" priority="13" operator="equal">
      <formula>FALSE</formula>
    </cfRule>
    <cfRule type="cellIs" dxfId="12" priority="14" operator="equal">
      <formula>TRUE</formula>
    </cfRule>
  </conditionalFormatting>
  <conditionalFormatting sqref="F119:F122">
    <cfRule type="cellIs" dxfId="11" priority="11" operator="equal">
      <formula>FALSE</formula>
    </cfRule>
    <cfRule type="cellIs" dxfId="10" priority="12" operator="equal">
      <formula>TRUE</formula>
    </cfRule>
  </conditionalFormatting>
  <conditionalFormatting sqref="F124:F127">
    <cfRule type="cellIs" dxfId="9" priority="9" operator="equal">
      <formula>FALSE</formula>
    </cfRule>
    <cfRule type="cellIs" dxfId="8" priority="10" operator="equal">
      <formula>TRUE</formula>
    </cfRule>
  </conditionalFormatting>
  <conditionalFormatting sqref="F129:F132">
    <cfRule type="cellIs" dxfId="7" priority="7" operator="equal">
      <formula>FALSE</formula>
    </cfRule>
    <cfRule type="cellIs" dxfId="6" priority="8" operator="equal">
      <formula>TRUE</formula>
    </cfRule>
  </conditionalFormatting>
  <conditionalFormatting sqref="F134:F137">
    <cfRule type="cellIs" dxfId="5" priority="5" operator="equal">
      <formula>FALSE</formula>
    </cfRule>
    <cfRule type="cellIs" dxfId="4" priority="6" operator="equal">
      <formula>TRUE</formula>
    </cfRule>
  </conditionalFormatting>
  <conditionalFormatting sqref="F139:F142">
    <cfRule type="cellIs" dxfId="3" priority="3" operator="equal">
      <formula>FALSE</formula>
    </cfRule>
    <cfRule type="cellIs" dxfId="2" priority="4" operator="equal">
      <formula>TRUE</formula>
    </cfRule>
  </conditionalFormatting>
  <conditionalFormatting sqref="F144:F147">
    <cfRule type="cellIs" dxfId="1" priority="1" operator="equal">
      <formula>FALSE</formula>
    </cfRule>
    <cfRule type="cellIs" dxfId="0" priority="2" operator="equal">
      <formula>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Examen 1</vt:lpstr>
      <vt:lpstr>Examen 1 - Solución</vt:lpstr>
      <vt:lpstr>Exam A</vt:lpstr>
      <vt:lpstr>Exam B</vt:lpstr>
      <vt:lpstr>Exam C</vt:lpstr>
      <vt:lpstr>Exam D</vt:lpstr>
      <vt:lpstr>Examen</vt:lpstr>
      <vt:lpstr>Knowledge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2023-03-17T03:07:55Z</dcterms:modified>
</cp:coreProperties>
</file>